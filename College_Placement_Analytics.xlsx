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358EBDD6-4E62-4263-BFF9-BECD0B31BF9C}" xr6:coauthVersionLast="47" xr6:coauthVersionMax="47" xr10:uidLastSave="{00000000-0000-0000-0000-000000000000}"/>
  <bookViews>
    <workbookView xWindow="-108" yWindow="-108" windowWidth="23256" windowHeight="12576" activeTab="3" xr2:uid="{00000000-000D-0000-FFFF-FFFF00000000}"/>
  </bookViews>
  <sheets>
    <sheet name="PivotSheets" sheetId="5" r:id="rId1"/>
    <sheet name="Charts" sheetId="6" r:id="rId2"/>
    <sheet name="Dashboard" sheetId="8" r:id="rId3"/>
    <sheet name="Placement_Data" sheetId="1" r:id="rId4"/>
    <sheet name="KPI_Calculations" sheetId="3" r:id="rId5"/>
    <sheet name="Data_Dictionary" sheetId="2" r:id="rId6"/>
    <sheet name="Insights" sheetId="9" r:id="rId7"/>
  </sheets>
  <definedNames>
    <definedName name="_xlnm._FilterDatabase" localSheetId="1" hidden="1">Charts!$A$88:$B$133</definedName>
    <definedName name="_xlnm._FilterDatabase" localSheetId="3" hidden="1">Placement_Data!$P$1:$P$501</definedName>
    <definedName name="_xlcn.WorksheetConnection_College_Placement_Analytics_Realistic_500Rows.xlsxresult1" hidden="1">result[]</definedName>
    <definedName name="_xlcn.WorksheetConnection_College_Placement_Analytics_Realistic_500Rows.xlsxtblPlacement1" hidden="1">tblPlacement[]</definedName>
    <definedName name="_xlcn.WorksheetConnection_Placement_DataAN1" hidden="1">Placement_Data!$A:$N</definedName>
    <definedName name="_xlnm.Extract" localSheetId="3">Placement_Data!$P$1</definedName>
    <definedName name="Slicer_Branch">#N/A</definedName>
    <definedName name="Slicer_Industry">#N/A</definedName>
    <definedName name="Slicer_Internship">#N/A</definedName>
    <definedName name="Slicer_Skill">#N/A</definedName>
  </definedNames>
  <calcPr calcId="191029"/>
  <pivotCaches>
    <pivotCache cacheId="803" r:id="rId8"/>
    <pivotCache cacheId="806" r:id="rId9"/>
    <pivotCache cacheId="809" r:id="rId10"/>
    <pivotCache cacheId="812" r:id="rId11"/>
    <pivotCache cacheId="815" r:id="rId12"/>
    <pivotCache cacheId="818" r:id="rId13"/>
    <pivotCache cacheId="821" r:id="rId14"/>
    <pivotCache cacheId="824" r:id="rId15"/>
  </pivotCaches>
  <extLst>
    <ext xmlns:x14="http://schemas.microsoft.com/office/spreadsheetml/2009/9/main" uri="{876F7934-8845-4945-9796-88D515C7AA90}">
      <x14:pivotCaches>
        <pivotCache cacheId="29"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Placement_Data!$A:$N"/>
          <x15:modelTable id="tblPlacement" name="tblPlacement" connection="WorksheetConnection_College_Placement_Analytics_Realistic_500Rows.xlsx!tblPlacement"/>
          <x15:modelTable id="result" name="result" connection="WorksheetConnection_College_Placement_Analytics_Realistic_500Rows.xlsx!result"/>
        </x15:modelTables>
      </x15:dataModel>
    </ext>
  </extLst>
</workbook>
</file>

<file path=xl/calcChain.xml><?xml version="1.0" encoding="utf-8"?>
<calcChain xmlns="http://schemas.openxmlformats.org/spreadsheetml/2006/main">
  <c r="Q1" i="8" l="1"/>
  <c r="M1" i="8"/>
  <c r="I1" i="8"/>
  <c r="B3" i="3"/>
  <c r="E1" i="8" s="1"/>
  <c r="B1" i="3"/>
  <c r="A1" i="8" s="1"/>
  <c r="D148" i="5"/>
  <c r="B161" i="6" s="1"/>
  <c r="D149" i="5"/>
  <c r="B162" i="6" s="1"/>
  <c r="D150" i="5"/>
  <c r="D151" i="5"/>
  <c r="D147" i="5"/>
  <c r="B160" i="6" s="1"/>
  <c r="A161" i="6"/>
  <c r="A162" i="6"/>
  <c r="A160" i="6"/>
  <c r="A140" i="6"/>
  <c r="B140" i="6"/>
  <c r="A141" i="6"/>
  <c r="B141" i="6"/>
  <c r="A142" i="6"/>
  <c r="B142" i="6"/>
  <c r="A143" i="6"/>
  <c r="B143" i="6"/>
  <c r="A144" i="6"/>
  <c r="B144" i="6"/>
  <c r="A145" i="6"/>
  <c r="B145" i="6"/>
  <c r="B139" i="6"/>
  <c r="A139" i="6"/>
  <c r="A95" i="6"/>
  <c r="B95" i="6"/>
  <c r="A102" i="6"/>
  <c r="B102" i="6"/>
  <c r="A127" i="6"/>
  <c r="B127" i="6"/>
  <c r="A97" i="6"/>
  <c r="B97" i="6"/>
  <c r="A124" i="6"/>
  <c r="B124" i="6"/>
  <c r="A125" i="6"/>
  <c r="B125" i="6"/>
  <c r="A126" i="6"/>
  <c r="B126" i="6"/>
  <c r="A116" i="6"/>
  <c r="B116" i="6"/>
  <c r="A100" i="6"/>
  <c r="B100" i="6"/>
  <c r="A110" i="6"/>
  <c r="B110" i="6"/>
  <c r="A131" i="6"/>
  <c r="B131" i="6"/>
  <c r="A111" i="6"/>
  <c r="B111" i="6"/>
  <c r="A117" i="6"/>
  <c r="B117" i="6"/>
  <c r="A118" i="6"/>
  <c r="B118" i="6"/>
  <c r="A101" i="6"/>
  <c r="B101" i="6"/>
  <c r="A132" i="6"/>
  <c r="B132" i="6"/>
  <c r="A104" i="6"/>
  <c r="B104" i="6"/>
  <c r="A119" i="6"/>
  <c r="B119" i="6"/>
  <c r="A99" i="6"/>
  <c r="B99" i="6"/>
  <c r="A133" i="6"/>
  <c r="B133" i="6"/>
  <c r="A112" i="6"/>
  <c r="B112" i="6"/>
  <c r="A120" i="6"/>
  <c r="B120" i="6"/>
  <c r="A105" i="6"/>
  <c r="B105" i="6"/>
  <c r="A106" i="6"/>
  <c r="B106" i="6"/>
  <c r="A121" i="6"/>
  <c r="B121" i="6"/>
  <c r="A93" i="6"/>
  <c r="B93" i="6"/>
  <c r="A107" i="6"/>
  <c r="B107" i="6"/>
  <c r="A128" i="6"/>
  <c r="B128" i="6"/>
  <c r="A108" i="6"/>
  <c r="B108" i="6"/>
  <c r="A113" i="6"/>
  <c r="B113" i="6"/>
  <c r="A98" i="6"/>
  <c r="B98" i="6"/>
  <c r="A90" i="6"/>
  <c r="B90" i="6"/>
  <c r="A103" i="6"/>
  <c r="B103" i="6"/>
  <c r="A94" i="6"/>
  <c r="B94" i="6"/>
  <c r="A92" i="6"/>
  <c r="B92" i="6"/>
  <c r="A123" i="6"/>
  <c r="B123" i="6"/>
  <c r="A114" i="6"/>
  <c r="B114" i="6"/>
  <c r="A129" i="6"/>
  <c r="B129" i="6"/>
  <c r="A130" i="6"/>
  <c r="B130" i="6"/>
  <c r="A96" i="6"/>
  <c r="B96" i="6"/>
  <c r="A115" i="6"/>
  <c r="B115" i="6"/>
  <c r="A109" i="6"/>
  <c r="B109" i="6"/>
  <c r="A89" i="6"/>
  <c r="B89" i="6"/>
  <c r="A91" i="6"/>
  <c r="B91" i="6"/>
  <c r="B122" i="6"/>
  <c r="A122" i="6"/>
  <c r="A71" i="6"/>
  <c r="A70" i="6"/>
  <c r="D19" i="5"/>
  <c r="B71" i="6" s="1"/>
  <c r="D20" i="5"/>
  <c r="D18" i="5"/>
  <c r="B70" i="6" s="1"/>
  <c r="B16" i="6"/>
  <c r="B23" i="6"/>
  <c r="B28" i="6"/>
  <c r="B41" i="6"/>
  <c r="B36" i="6"/>
  <c r="B34" i="6"/>
  <c r="B46" i="6"/>
  <c r="B30" i="6"/>
  <c r="B50" i="6"/>
  <c r="B40" i="6"/>
  <c r="B37" i="6"/>
  <c r="B52" i="6"/>
  <c r="B20" i="6"/>
  <c r="B49" i="6"/>
  <c r="B38" i="6"/>
  <c r="B29" i="6"/>
  <c r="B22" i="6"/>
  <c r="B27" i="6"/>
  <c r="B32" i="6"/>
  <c r="B48" i="6"/>
  <c r="B43" i="6"/>
  <c r="B33" i="6"/>
  <c r="B17" i="6"/>
  <c r="B45" i="6"/>
  <c r="B18" i="6"/>
  <c r="B19" i="6"/>
  <c r="B25" i="6"/>
  <c r="B42" i="6"/>
  <c r="B31" i="6"/>
  <c r="B51" i="6"/>
  <c r="B44" i="6"/>
  <c r="B24" i="6"/>
  <c r="B35" i="6"/>
  <c r="B47" i="6"/>
  <c r="B39" i="6"/>
  <c r="B21" i="6"/>
  <c r="B26" i="6"/>
  <c r="A39" i="6"/>
  <c r="A21" i="6"/>
  <c r="A44" i="6"/>
  <c r="A24" i="6"/>
  <c r="A35" i="6"/>
  <c r="A47" i="6"/>
  <c r="A16" i="6"/>
  <c r="A23" i="6"/>
  <c r="A28" i="6"/>
  <c r="A41" i="6"/>
  <c r="A36" i="6"/>
  <c r="A34" i="6"/>
  <c r="A46" i="6"/>
  <c r="A30" i="6"/>
  <c r="A50" i="6"/>
  <c r="A40" i="6"/>
  <c r="A37" i="6"/>
  <c r="A52" i="6"/>
  <c r="A20" i="6"/>
  <c r="A49" i="6"/>
  <c r="A38" i="6"/>
  <c r="A29" i="6"/>
  <c r="A22" i="6"/>
  <c r="A27" i="6"/>
  <c r="A32" i="6"/>
  <c r="A48" i="6"/>
  <c r="A43" i="6"/>
  <c r="A33" i="6"/>
  <c r="A17" i="6"/>
  <c r="A45" i="6"/>
  <c r="A18" i="6"/>
  <c r="A19" i="6"/>
  <c r="A25" i="6"/>
  <c r="A42" i="6"/>
  <c r="A31" i="6"/>
  <c r="A51" i="6"/>
  <c r="A26" i="6"/>
  <c r="A8" i="6"/>
  <c r="A3" i="6"/>
  <c r="A4" i="6"/>
  <c r="A5" i="6"/>
  <c r="A6" i="6"/>
  <c r="A7" i="6"/>
  <c r="A2" i="6"/>
  <c r="D5" i="5"/>
  <c r="B3" i="6" s="1"/>
  <c r="D6" i="5"/>
  <c r="B4" i="6" s="1"/>
  <c r="D7" i="5"/>
  <c r="B5" i="6" s="1"/>
  <c r="D8" i="5"/>
  <c r="B6" i="6" s="1"/>
  <c r="D9" i="5"/>
  <c r="B7" i="6" s="1"/>
  <c r="D10" i="5"/>
  <c r="B8" i="6" s="1"/>
  <c r="D4" i="5"/>
  <c r="B2" i="6" s="1"/>
  <c r="B4" i="3"/>
  <c r="B5" i="3"/>
  <c r="B6" i="3"/>
  <c r="C2" i="3"/>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K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L50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B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981519-87C1-4E87-94F7-CA521CAEC9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0BF8971-CDB9-4916-87AE-8B4D5A669524}" name="WorksheetConnection_College_Placement_Analytics_Realistic_500Rows.xlsx!result" type="102" refreshedVersion="8" minRefreshableVersion="5">
    <extLst>
      <ext xmlns:x15="http://schemas.microsoft.com/office/spreadsheetml/2010/11/main" uri="{DE250136-89BD-433C-8126-D09CA5730AF9}">
        <x15:connection id="result">
          <x15:rangePr sourceName="_xlcn.WorksheetConnection_College_Placement_Analytics_Realistic_500Rows.xlsxresult1"/>
        </x15:connection>
      </ext>
    </extLst>
  </connection>
  <connection id="3" xr16:uid="{20C980F6-C725-42A1-974E-0E96CEFA6098}" name="WorksheetConnection_College_Placement_Analytics_Realistic_500Rows.xlsx!tblPlacement" type="102" refreshedVersion="8" minRefreshableVersion="5">
    <extLst>
      <ext xmlns:x15="http://schemas.microsoft.com/office/spreadsheetml/2010/11/main" uri="{DE250136-89BD-433C-8126-D09CA5730AF9}">
        <x15:connection id="tblPlacement" autoDelete="1">
          <x15:rangePr sourceName="_xlcn.WorksheetConnection_College_Placement_Analytics_Realistic_500Rows.xlsxtblPlacement1"/>
        </x15:connection>
      </ext>
    </extLst>
  </connection>
  <connection id="4" xr16:uid="{5C199844-E36C-43C7-B40E-3FCC77AEA0A9}" name="WorksheetConnection_Placement_Data!$A:$N" type="102" refreshedVersion="8" minRefreshableVersion="5">
    <extLst>
      <ext xmlns:x15="http://schemas.microsoft.com/office/spreadsheetml/2010/11/main" uri="{DE250136-89BD-433C-8126-D09CA5730AF9}">
        <x15:connection id="Range" autoDelete="1">
          <x15:rangePr sourceName="_xlcn.WorksheetConnection_Placement_DataAN1"/>
        </x15:connection>
      </ext>
    </extLst>
  </connection>
</connections>
</file>

<file path=xl/sharedStrings.xml><?xml version="1.0" encoding="utf-8"?>
<sst xmlns="http://schemas.openxmlformats.org/spreadsheetml/2006/main" count="4263" uniqueCount="661">
  <si>
    <t>Student_ID</t>
  </si>
  <si>
    <t>Branch</t>
  </si>
  <si>
    <t>CGPA</t>
  </si>
  <si>
    <t>Internship</t>
  </si>
  <si>
    <t>Skill</t>
  </si>
  <si>
    <t>Placement_Status</t>
  </si>
  <si>
    <t>Package_LPA</t>
  </si>
  <si>
    <t>Company</t>
  </si>
  <si>
    <t>Industry</t>
  </si>
  <si>
    <t>S001</t>
  </si>
  <si>
    <t>EE</t>
  </si>
  <si>
    <t>Yes</t>
  </si>
  <si>
    <t>Power Systems</t>
  </si>
  <si>
    <t>Placed</t>
  </si>
  <si>
    <t>Schneider Electric</t>
  </si>
  <si>
    <t>Electrical</t>
  </si>
  <si>
    <t>S002</t>
  </si>
  <si>
    <t>CSE</t>
  </si>
  <si>
    <t>Python</t>
  </si>
  <si>
    <t>Wipro</t>
  </si>
  <si>
    <t>IT</t>
  </si>
  <si>
    <t>S003</t>
  </si>
  <si>
    <t>No</t>
  </si>
  <si>
    <t>SQL</t>
  </si>
  <si>
    <t>Cognizant</t>
  </si>
  <si>
    <t>S004</t>
  </si>
  <si>
    <t>Civil</t>
  </si>
  <si>
    <t>STAAD Pro</t>
  </si>
  <si>
    <t>L&amp;T Construction</t>
  </si>
  <si>
    <t>S005</t>
  </si>
  <si>
    <t>ECE</t>
  </si>
  <si>
    <t>C</t>
  </si>
  <si>
    <t>Not Placed</t>
  </si>
  <si>
    <t>NA</t>
  </si>
  <si>
    <t>S006</t>
  </si>
  <si>
    <t>VLSI</t>
  </si>
  <si>
    <t>Qualcomm</t>
  </si>
  <si>
    <t>Electronics</t>
  </si>
  <si>
    <t>S007</t>
  </si>
  <si>
    <t>Excel</t>
  </si>
  <si>
    <t>S008</t>
  </si>
  <si>
    <t>Tata Power</t>
  </si>
  <si>
    <t>S009</t>
  </si>
  <si>
    <t>Mechanical</t>
  </si>
  <si>
    <t>AutoCAD</t>
  </si>
  <si>
    <t>S010</t>
  </si>
  <si>
    <t>Java</t>
  </si>
  <si>
    <t>Deloitte</t>
  </si>
  <si>
    <t>S011</t>
  </si>
  <si>
    <t>AutoCAD Electrical</t>
  </si>
  <si>
    <t>S012</t>
  </si>
  <si>
    <t>TCS</t>
  </si>
  <si>
    <t>S013</t>
  </si>
  <si>
    <t>IBM</t>
  </si>
  <si>
    <t>S014</t>
  </si>
  <si>
    <t>S015</t>
  </si>
  <si>
    <t>Bosch</t>
  </si>
  <si>
    <t>S016</t>
  </si>
  <si>
    <t>Manufacturing</t>
  </si>
  <si>
    <t>S017</t>
  </si>
  <si>
    <t>MATLAB</t>
  </si>
  <si>
    <t>Sony</t>
  </si>
  <si>
    <t>S018</t>
  </si>
  <si>
    <t>Surveying</t>
  </si>
  <si>
    <t>Thermax</t>
  </si>
  <si>
    <t>Core/Consulting</t>
  </si>
  <si>
    <t>S019</t>
  </si>
  <si>
    <t>Accenture</t>
  </si>
  <si>
    <t>S020</t>
  </si>
  <si>
    <t>ANSYS</t>
  </si>
  <si>
    <t>S021</t>
  </si>
  <si>
    <t>Testing</t>
  </si>
  <si>
    <t>Infosys</t>
  </si>
  <si>
    <t>S022</t>
  </si>
  <si>
    <t>S023</t>
  </si>
  <si>
    <t>S024</t>
  </si>
  <si>
    <t>Web Development</t>
  </si>
  <si>
    <t>S025</t>
  </si>
  <si>
    <t>S026</t>
  </si>
  <si>
    <t>S027</t>
  </si>
  <si>
    <t>Data Analytics</t>
  </si>
  <si>
    <t>HCL</t>
  </si>
  <si>
    <t>S028</t>
  </si>
  <si>
    <t>S029</t>
  </si>
  <si>
    <t>Estimation</t>
  </si>
  <si>
    <t>S030</t>
  </si>
  <si>
    <t>Power BI</t>
  </si>
  <si>
    <t>S031</t>
  </si>
  <si>
    <t>S032</t>
  </si>
  <si>
    <t>Texas Instruments</t>
  </si>
  <si>
    <t>S033</t>
  </si>
  <si>
    <t>Afcons</t>
  </si>
  <si>
    <t>S034</t>
  </si>
  <si>
    <t>S035</t>
  </si>
  <si>
    <t>SolidWorks</t>
  </si>
  <si>
    <t>Maruti Suzuki</t>
  </si>
  <si>
    <t>S036</t>
  </si>
  <si>
    <t>Revit</t>
  </si>
  <si>
    <t>S037</t>
  </si>
  <si>
    <t>Godrej</t>
  </si>
  <si>
    <t>S038</t>
  </si>
  <si>
    <t>S039</t>
  </si>
  <si>
    <t>S040</t>
  </si>
  <si>
    <t>S041</t>
  </si>
  <si>
    <t>Siemens</t>
  </si>
  <si>
    <t>S042</t>
  </si>
  <si>
    <t>S043</t>
  </si>
  <si>
    <t>S044</t>
  </si>
  <si>
    <t>S045</t>
  </si>
  <si>
    <t>S046</t>
  </si>
  <si>
    <t>Renewable Energy</t>
  </si>
  <si>
    <t>S047</t>
  </si>
  <si>
    <t>SCADA</t>
  </si>
  <si>
    <t>S048</t>
  </si>
  <si>
    <t>S049</t>
  </si>
  <si>
    <t>Capgemini</t>
  </si>
  <si>
    <t>S050</t>
  </si>
  <si>
    <t>S051</t>
  </si>
  <si>
    <t>S052</t>
  </si>
  <si>
    <t>ABB</t>
  </si>
  <si>
    <t>S053</t>
  </si>
  <si>
    <t>S054</t>
  </si>
  <si>
    <t>S055</t>
  </si>
  <si>
    <t>S056</t>
  </si>
  <si>
    <t>L&amp;T</t>
  </si>
  <si>
    <t>S057</t>
  </si>
  <si>
    <t>S058</t>
  </si>
  <si>
    <t>S059</t>
  </si>
  <si>
    <t>Tata Motors</t>
  </si>
  <si>
    <t>S060</t>
  </si>
  <si>
    <t>S061</t>
  </si>
  <si>
    <t>MBA</t>
  </si>
  <si>
    <t>Presentation Skills</t>
  </si>
  <si>
    <t>S062</t>
  </si>
  <si>
    <t>S063</t>
  </si>
  <si>
    <t>S064</t>
  </si>
  <si>
    <t>Machine Learning</t>
  </si>
  <si>
    <t>S065</t>
  </si>
  <si>
    <t>Project Planning</t>
  </si>
  <si>
    <t>S066</t>
  </si>
  <si>
    <t>S067</t>
  </si>
  <si>
    <t>IoT</t>
  </si>
  <si>
    <t>NXP</t>
  </si>
  <si>
    <t>S068</t>
  </si>
  <si>
    <t>Quantity Surveying</t>
  </si>
  <si>
    <t>S069</t>
  </si>
  <si>
    <t>S070</t>
  </si>
  <si>
    <t>S071</t>
  </si>
  <si>
    <t>S072</t>
  </si>
  <si>
    <t>S073</t>
  </si>
  <si>
    <t>S074</t>
  </si>
  <si>
    <t>DLF</t>
  </si>
  <si>
    <t>S075</t>
  </si>
  <si>
    <t>S076</t>
  </si>
  <si>
    <t>S077</t>
  </si>
  <si>
    <t>S078</t>
  </si>
  <si>
    <t>S079</t>
  </si>
  <si>
    <t>S080</t>
  </si>
  <si>
    <t>S081</t>
  </si>
  <si>
    <t>CG Power</t>
  </si>
  <si>
    <t>S082</t>
  </si>
  <si>
    <t>L&amp;T Electrical</t>
  </si>
  <si>
    <t>S083</t>
  </si>
  <si>
    <t>IRCON</t>
  </si>
  <si>
    <t>S084</t>
  </si>
  <si>
    <t>Quality Control</t>
  </si>
  <si>
    <t>S085</t>
  </si>
  <si>
    <t>S086</t>
  </si>
  <si>
    <t>S087</t>
  </si>
  <si>
    <t>S088</t>
  </si>
  <si>
    <t>S089</t>
  </si>
  <si>
    <t>S090</t>
  </si>
  <si>
    <t>S091</t>
  </si>
  <si>
    <t>S092</t>
  </si>
  <si>
    <t>S093</t>
  </si>
  <si>
    <t>S094</t>
  </si>
  <si>
    <t>S095</t>
  </si>
  <si>
    <t>S096</t>
  </si>
  <si>
    <t>S097</t>
  </si>
  <si>
    <t>S098</t>
  </si>
  <si>
    <t>S099</t>
  </si>
  <si>
    <t>S100</t>
  </si>
  <si>
    <t>Ashok Leyland</t>
  </si>
  <si>
    <t>S101</t>
  </si>
  <si>
    <t>S102</t>
  </si>
  <si>
    <t>PLC</t>
  </si>
  <si>
    <t>S103</t>
  </si>
  <si>
    <t>S104</t>
  </si>
  <si>
    <t>S105</t>
  </si>
  <si>
    <t>S106</t>
  </si>
  <si>
    <t>S107</t>
  </si>
  <si>
    <t>S108</t>
  </si>
  <si>
    <t>S109</t>
  </si>
  <si>
    <t>S110</t>
  </si>
  <si>
    <t>S111</t>
  </si>
  <si>
    <t>Tata Projects</t>
  </si>
  <si>
    <t>S112</t>
  </si>
  <si>
    <t>S113</t>
  </si>
  <si>
    <t>S114</t>
  </si>
  <si>
    <t>S115</t>
  </si>
  <si>
    <t>Cloud Basics</t>
  </si>
  <si>
    <t>S116</t>
  </si>
  <si>
    <t>S117</t>
  </si>
  <si>
    <t>S118</t>
  </si>
  <si>
    <t>S119</t>
  </si>
  <si>
    <t>S120</t>
  </si>
  <si>
    <t>S121</t>
  </si>
  <si>
    <t>Bajaj Auto</t>
  </si>
  <si>
    <t>S122</t>
  </si>
  <si>
    <t>S123</t>
  </si>
  <si>
    <t>S124</t>
  </si>
  <si>
    <t>S125</t>
  </si>
  <si>
    <t>S126</t>
  </si>
  <si>
    <t>S127</t>
  </si>
  <si>
    <t>S128</t>
  </si>
  <si>
    <t>S129</t>
  </si>
  <si>
    <t>S130</t>
  </si>
  <si>
    <t>S131</t>
  </si>
  <si>
    <t>S132</t>
  </si>
  <si>
    <t>S133</t>
  </si>
  <si>
    <t>S134</t>
  </si>
  <si>
    <t>S135</t>
  </si>
  <si>
    <t>S136</t>
  </si>
  <si>
    <t>S137</t>
  </si>
  <si>
    <t>Honeywell</t>
  </si>
  <si>
    <t>S138</t>
  </si>
  <si>
    <t>S139</t>
  </si>
  <si>
    <t>S140</t>
  </si>
  <si>
    <t>S141</t>
  </si>
  <si>
    <t>S142</t>
  </si>
  <si>
    <t>S143</t>
  </si>
  <si>
    <t>S144</t>
  </si>
  <si>
    <t>S145</t>
  </si>
  <si>
    <t>S146</t>
  </si>
  <si>
    <t>CATIA</t>
  </si>
  <si>
    <t>S147</t>
  </si>
  <si>
    <t>S148</t>
  </si>
  <si>
    <t>S149</t>
  </si>
  <si>
    <t>S150</t>
  </si>
  <si>
    <t>S151</t>
  </si>
  <si>
    <t>S152</t>
  </si>
  <si>
    <t>S153</t>
  </si>
  <si>
    <t>S154</t>
  </si>
  <si>
    <t>S155</t>
  </si>
  <si>
    <t>S156</t>
  </si>
  <si>
    <t>S157</t>
  </si>
  <si>
    <t>S158</t>
  </si>
  <si>
    <t>S159</t>
  </si>
  <si>
    <t>S160</t>
  </si>
  <si>
    <t>S161</t>
  </si>
  <si>
    <t>S162</t>
  </si>
  <si>
    <t>S163</t>
  </si>
  <si>
    <t>S164</t>
  </si>
  <si>
    <t>S165</t>
  </si>
  <si>
    <t>S166</t>
  </si>
  <si>
    <t>JCB</t>
  </si>
  <si>
    <t>S167</t>
  </si>
  <si>
    <t>S168</t>
  </si>
  <si>
    <t>S169</t>
  </si>
  <si>
    <t>S170</t>
  </si>
  <si>
    <t>S171</t>
  </si>
  <si>
    <t>S172</t>
  </si>
  <si>
    <t>S173</t>
  </si>
  <si>
    <t>S174</t>
  </si>
  <si>
    <t>Hero MotoCorp</t>
  </si>
  <si>
    <t>S175</t>
  </si>
  <si>
    <t>S176</t>
  </si>
  <si>
    <t>S177</t>
  </si>
  <si>
    <t>S178</t>
  </si>
  <si>
    <t>S179</t>
  </si>
  <si>
    <t>S180</t>
  </si>
  <si>
    <t>S181</t>
  </si>
  <si>
    <t>S182</t>
  </si>
  <si>
    <t>S183</t>
  </si>
  <si>
    <t>S184</t>
  </si>
  <si>
    <t>S185</t>
  </si>
  <si>
    <t>S186</t>
  </si>
  <si>
    <t>S187</t>
  </si>
  <si>
    <t>S188</t>
  </si>
  <si>
    <t>S189</t>
  </si>
  <si>
    <t>S190</t>
  </si>
  <si>
    <t>S191</t>
  </si>
  <si>
    <t>S192</t>
  </si>
  <si>
    <t>S193</t>
  </si>
  <si>
    <t>S194</t>
  </si>
  <si>
    <t>Embedded Systems</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</si>
  <si>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</si>
  <si>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</si>
  <si>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</si>
  <si>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</si>
  <si>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</si>
  <si>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</si>
  <si>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</si>
  <si>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</si>
  <si>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</si>
  <si>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</si>
  <si>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</si>
  <si>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</si>
  <si>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</si>
  <si>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</si>
  <si>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</si>
  <si>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</si>
  <si>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</si>
  <si>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</si>
  <si>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</si>
  <si>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</si>
  <si>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</si>
  <si>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</si>
  <si>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</si>
  <si>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Business</t>
  </si>
  <si>
    <t>S218</t>
  </si>
  <si>
    <t>S219</t>
  </si>
  <si>
    <t>S220</t>
  </si>
  <si>
    <t>Shapoorji Pallonji</t>
  </si>
  <si>
    <t>S221</t>
  </si>
  <si>
    <t>S222</t>
  </si>
  <si>
    <t>S223</t>
  </si>
  <si>
    <t>S224</t>
  </si>
  <si>
    <t>S225</t>
  </si>
  <si>
    <t>S226</t>
  </si>
  <si>
    <t>S227</t>
  </si>
  <si>
    <t>S228</t>
  </si>
  <si>
    <t>S229</t>
  </si>
  <si>
    <t>S230</t>
  </si>
  <si>
    <t>S231</t>
  </si>
  <si>
    <t>S232</t>
  </si>
  <si>
    <t>S233</t>
  </si>
  <si>
    <t>Business Analytics</t>
  </si>
  <si>
    <t>S234</t>
  </si>
  <si>
    <t>S235</t>
  </si>
  <si>
    <t>S236</t>
  </si>
  <si>
    <t>S237</t>
  </si>
  <si>
    <t>S238</t>
  </si>
  <si>
    <t>S239</t>
  </si>
  <si>
    <t>S240</t>
  </si>
  <si>
    <t>Digital Electronics</t>
  </si>
  <si>
    <t>S241</t>
  </si>
  <si>
    <t>S242</t>
  </si>
  <si>
    <t>S243</t>
  </si>
  <si>
    <t>S244</t>
  </si>
  <si>
    <t>S245</t>
  </si>
  <si>
    <t>S246</t>
  </si>
  <si>
    <t>S247</t>
  </si>
  <si>
    <t>S248</t>
  </si>
  <si>
    <t>NCC</t>
  </si>
  <si>
    <t>S249</t>
  </si>
  <si>
    <t>S250</t>
  </si>
  <si>
    <t>S251</t>
  </si>
  <si>
    <t>S252</t>
  </si>
  <si>
    <t>S253</t>
  </si>
  <si>
    <t>S254</t>
  </si>
  <si>
    <t>S255</t>
  </si>
  <si>
    <t>Eaton</t>
  </si>
  <si>
    <t>S256</t>
  </si>
  <si>
    <t>S257</t>
  </si>
  <si>
    <t>S258</t>
  </si>
  <si>
    <t>S259</t>
  </si>
  <si>
    <t>S260</t>
  </si>
  <si>
    <t>EY</t>
  </si>
  <si>
    <t>S261</t>
  </si>
  <si>
    <t>S262</t>
  </si>
  <si>
    <t>S263</t>
  </si>
  <si>
    <t>S264</t>
  </si>
  <si>
    <t>S265</t>
  </si>
  <si>
    <t>S266</t>
  </si>
  <si>
    <t>S267</t>
  </si>
  <si>
    <t>S268</t>
  </si>
  <si>
    <t>S269</t>
  </si>
  <si>
    <t>KPMG</t>
  </si>
  <si>
    <t>S270</t>
  </si>
  <si>
    <t>S271</t>
  </si>
  <si>
    <t>S272</t>
  </si>
  <si>
    <t>S273</t>
  </si>
  <si>
    <t>S274</t>
  </si>
  <si>
    <t>S275</t>
  </si>
  <si>
    <t>S276</t>
  </si>
  <si>
    <t>S277</t>
  </si>
  <si>
    <t>S278</t>
  </si>
  <si>
    <t>S279</t>
  </si>
  <si>
    <t>S280</t>
  </si>
  <si>
    <t>S281</t>
  </si>
  <si>
    <t>S282</t>
  </si>
  <si>
    <t>S283</t>
  </si>
  <si>
    <t>S284</t>
  </si>
  <si>
    <t>S285</t>
  </si>
  <si>
    <t>S286</t>
  </si>
  <si>
    <t>Analog Devices</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</si>
  <si>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</si>
  <si>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</si>
  <si>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</si>
  <si>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</si>
  <si>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</si>
  <si>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</si>
  <si>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</si>
  <si>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</si>
  <si>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</si>
  <si>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</si>
  <si>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</si>
  <si>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</si>
  <si>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</si>
  <si>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</si>
  <si>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</si>
  <si>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</si>
  <si>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</si>
  <si>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</si>
  <si>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</si>
  <si>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</si>
  <si>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</si>
  <si>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</si>
  <si>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</si>
  <si>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</si>
  <si>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</si>
  <si>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</si>
  <si>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</si>
  <si>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</si>
  <si>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</si>
  <si>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</si>
  <si>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</si>
  <si>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</si>
  <si>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</si>
  <si>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</si>
  <si>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</si>
  <si>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</si>
  <si>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</si>
  <si>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</si>
  <si>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</si>
  <si>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</si>
  <si>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</si>
  <si>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</si>
  <si>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</si>
  <si>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</si>
  <si>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</si>
  <si>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</si>
  <si>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</si>
  <si>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Intel</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</si>
  <si>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</si>
  <si>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</si>
  <si>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</si>
  <si>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</si>
  <si>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</si>
  <si>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</si>
  <si>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</si>
  <si>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</si>
  <si>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</si>
  <si>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</si>
  <si>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</si>
  <si>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</si>
  <si>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</si>
  <si>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</si>
  <si>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</si>
  <si>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</si>
  <si>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</si>
  <si>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</si>
  <si>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</si>
  <si>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</si>
  <si>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</si>
  <si>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</si>
  <si>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</si>
  <si>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</si>
  <si>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</si>
  <si>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</si>
  <si>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</si>
  <si>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</si>
  <si>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</si>
  <si>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</si>
  <si>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</si>
  <si>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</si>
  <si>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</si>
  <si>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</si>
  <si>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</si>
  <si>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</si>
  <si>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</si>
  <si>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</si>
  <si>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</si>
  <si>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</si>
  <si>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</si>
  <si>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</si>
  <si>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</si>
  <si>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</si>
  <si>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</si>
  <si>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</si>
  <si>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</si>
  <si>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</si>
  <si>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</si>
  <si>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Samsung</t>
  </si>
  <si>
    <t>S383</t>
  </si>
  <si>
    <t>S384</t>
  </si>
  <si>
    <t>S385</t>
  </si>
  <si>
    <t>S386</t>
  </si>
  <si>
    <t>S387</t>
  </si>
  <si>
    <t>S388</t>
  </si>
  <si>
    <t>S389</t>
  </si>
  <si>
    <t>S390</t>
  </si>
  <si>
    <t>S391</t>
  </si>
  <si>
    <t>S392</t>
  </si>
  <si>
    <t>S393</t>
  </si>
  <si>
    <t>Punj Lloyd</t>
  </si>
  <si>
    <t>S394</t>
  </si>
  <si>
    <t>S395</t>
  </si>
  <si>
    <t>S396</t>
  </si>
  <si>
    <t>S397</t>
  </si>
  <si>
    <t>S398</t>
  </si>
  <si>
    <t>S399</t>
  </si>
  <si>
    <t>S400</t>
  </si>
  <si>
    <t>S401</t>
  </si>
  <si>
    <t>S402</t>
  </si>
  <si>
    <t>S403</t>
  </si>
  <si>
    <t>S404</t>
  </si>
  <si>
    <t>S405</t>
  </si>
  <si>
    <t>S406</t>
  </si>
  <si>
    <t>S407</t>
  </si>
  <si>
    <t>S408</t>
  </si>
  <si>
    <t>S409</t>
  </si>
  <si>
    <t>HR Analytics</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</si>
  <si>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</si>
  <si>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</si>
  <si>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</si>
  <si>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</si>
  <si>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</si>
  <si>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</si>
  <si>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</si>
  <si>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</si>
  <si>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</si>
  <si>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</si>
  <si>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</si>
  <si>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</si>
  <si>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</si>
  <si>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</si>
  <si>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</si>
  <si>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</si>
  <si>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</si>
  <si>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</si>
  <si>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</si>
  <si>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</si>
  <si>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</si>
  <si>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</si>
  <si>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</si>
  <si>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</si>
  <si>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</si>
  <si>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</si>
  <si>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</si>
  <si>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</si>
  <si>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</si>
  <si>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</si>
  <si>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</si>
  <si>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</si>
  <si>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</si>
  <si>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</si>
  <si>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</si>
  <si>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</si>
  <si>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</si>
  <si>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</si>
  <si>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Finance</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</si>
  <si>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</si>
  <si>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</si>
  <si>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</si>
  <si>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</si>
  <si>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</si>
  <si>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</si>
  <si>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</si>
  <si>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</si>
  <si>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</si>
  <si>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</si>
  <si>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</si>
  <si>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</si>
  <si>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</si>
  <si>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</si>
  <si>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</si>
  <si>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</si>
  <si>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</si>
  <si>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</si>
  <si>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</si>
  <si>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</si>
  <si>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</si>
  <si>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</si>
  <si>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</si>
  <si>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</si>
  <si>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</si>
  <si>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</si>
  <si>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</si>
  <si>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</si>
  <si>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</si>
  <si>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</si>
  <si>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</si>
  <si>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</si>
  <si>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</si>
  <si>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</si>
  <si>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</si>
  <si>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</si>
  <si>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</si>
  <si>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</si>
  <si>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</si>
  <si>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</si>
  <si>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</si>
  <si>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</si>
  <si>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</si>
  <si>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</si>
  <si>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</si>
  <si>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</si>
  <si>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</si>
  <si>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</si>
  <si>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</si>
  <si>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</si>
  <si>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</si>
  <si>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</si>
  <si>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</si>
  <si>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Column</t>
  </si>
  <si>
    <t>Description</t>
  </si>
  <si>
    <t>Unique student identifier</t>
  </si>
  <si>
    <t>Engineering or management branch</t>
  </si>
  <si>
    <t>Academic score out of 10</t>
  </si>
  <si>
    <t>Whether student completed an internship</t>
  </si>
  <si>
    <t>Primary skill or specialization</t>
  </si>
  <si>
    <t>Placed or Not Placed</t>
  </si>
  <si>
    <t>Annual package in LPA</t>
  </si>
  <si>
    <t>Recruiting company</t>
  </si>
  <si>
    <t>Industry of recruiter</t>
  </si>
  <si>
    <t>Placement Indicator</t>
  </si>
  <si>
    <t>CGPA Group</t>
  </si>
  <si>
    <t>Package Category</t>
  </si>
  <si>
    <t>Internship Indicator</t>
  </si>
  <si>
    <t>Total Students</t>
  </si>
  <si>
    <t>Total Placed</t>
  </si>
  <si>
    <t>Placement%</t>
  </si>
  <si>
    <t>Average Package</t>
  </si>
  <si>
    <t>Total Recruiters</t>
  </si>
  <si>
    <t>Highest Package</t>
  </si>
  <si>
    <t>Grand Total</t>
  </si>
  <si>
    <t>Count of Student_ID</t>
  </si>
  <si>
    <t>Sum of Placement Indicator</t>
  </si>
  <si>
    <t>Placement By Branch</t>
  </si>
  <si>
    <t>Internship Impact</t>
  </si>
  <si>
    <t>Skill Analysis</t>
  </si>
  <si>
    <t>Average of Package_LPA</t>
  </si>
  <si>
    <t>Branch vs Average Package</t>
  </si>
  <si>
    <t>Top Recruiters</t>
  </si>
  <si>
    <t>Industry Analysis</t>
  </si>
  <si>
    <t>CGPA Analysis</t>
  </si>
  <si>
    <t>Placement Rate</t>
  </si>
  <si>
    <t>Average_Package</t>
  </si>
  <si>
    <t>placement%</t>
  </si>
  <si>
    <t>Count Student_ID</t>
  </si>
  <si>
    <t>7-8</t>
  </si>
  <si>
    <t>8-9</t>
  </si>
  <si>
    <t>9+</t>
  </si>
  <si>
    <t>Below 7</t>
  </si>
  <si>
    <t xml:space="preserve">Branch </t>
  </si>
  <si>
    <t>Placement Status</t>
  </si>
  <si>
    <t>Unique Companies</t>
  </si>
  <si>
    <t>Internship Status</t>
  </si>
  <si>
    <t>Companies</t>
  </si>
  <si>
    <t>Placement  %age</t>
  </si>
  <si>
    <t>Placement %</t>
  </si>
  <si>
    <t>Average Package(LPA)</t>
  </si>
  <si>
    <t>+</t>
  </si>
  <si>
    <t>Findings From the Analysis of Placement Data</t>
  </si>
  <si>
    <t>1. CSE students achieved the highest placement rate.</t>
  </si>
  <si>
    <t>2. Internship improved placement outcomes.</t>
  </si>
  <si>
    <t>3. Data Analytics and Machine Learning skills had better packages.</t>
  </si>
  <si>
    <t>4. IT and Electronics industries hired the most students.</t>
  </si>
  <si>
    <t>5. Students with CGPA above 8 had stronger placement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</si>
</sst>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ont>
    <font>
      <sz val="11"/>
      <color theme="1"/>
      <name val="Calibri"/>
      <family val="2"/>
      <scheme val="minor"/>
    </font>
    <font>
      <b/>
      <sz val="11"/>
      <name val="Calibri"/>
      <family val="2"/>
    </font>
    <font>
      <sz val="11"/>
      <name val="Calibri"/>
      <family val="2"/>
      <scheme val="minor"/>
    </font>
    <font>
      <b/>
      <sz val="11"/>
      <name val="Calibri"/>
      <family val="2"/>
      <scheme val="minor"/>
    </font>
    <font>
      <sz val="8"/>
      <name val="Calibri"/>
      <family val="2"/>
      <scheme val="minor"/>
    </font>
    <font>
      <b/>
      <sz val="11"/>
      <color theme="0"/>
      <name val="Calibri"/>
      <family val="2"/>
      <scheme val="minor"/>
    </font>
    <font>
      <b/>
      <i/>
      <u/>
      <sz val="16"/>
      <color theme="1"/>
      <name val="Calibri"/>
      <family val="2"/>
      <scheme val="minor"/>
    </font>
    <font>
      <b/>
      <sz val="24"/>
      <color theme="1"/>
      <name val="Calibri"/>
      <family val="2"/>
      <scheme val="minor"/>
    </font>
    <font>
      <b/>
      <i/>
      <u/>
      <sz val="11"/>
      <color rgb="FF7030A0"/>
      <name val="Calibri"/>
      <family val="2"/>
      <scheme val="minor"/>
    </font>
    <font>
      <b/>
      <i/>
      <u/>
      <sz val="14"/>
      <color rgb="FF7030A0"/>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s>
  <borders count="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0" borderId="0" xfId="0" applyFont="1" applyAlignment="1">
      <alignment horizontal="center"/>
    </xf>
    <xf numFmtId="0" fontId="4" fillId="0" borderId="0" xfId="0" applyFont="1"/>
    <xf numFmtId="0" fontId="5" fillId="0" borderId="0" xfId="0" applyFont="1" applyAlignment="1">
      <alignment horizontal="center"/>
    </xf>
    <xf numFmtId="9" fontId="0" fillId="0" borderId="0" xfId="1" applyFont="1"/>
    <xf numFmtId="0" fontId="3" fillId="0" borderId="0" xfId="0" applyFont="1" applyAlignment="1">
      <alignment horizontal="center"/>
    </xf>
    <xf numFmtId="0" fontId="0" fillId="0" borderId="0" xfId="0" pivotButton="1"/>
    <xf numFmtId="0" fontId="0" fillId="0" borderId="0" xfId="0" applyAlignment="1">
      <alignment horizontal="left"/>
    </xf>
    <xf numFmtId="9" fontId="0" fillId="0" borderId="0" xfId="0" applyNumberFormat="1"/>
    <xf numFmtId="0" fontId="7" fillId="0" borderId="0" xfId="0" applyFont="1" applyFill="1" applyAlignment="1">
      <alignment horizontal="center"/>
    </xf>
    <xf numFmtId="0" fontId="0" fillId="0" borderId="0" xfId="0" applyNumberFormat="1"/>
    <xf numFmtId="2" fontId="0" fillId="0" borderId="0" xfId="0" applyNumberFormat="1"/>
    <xf numFmtId="0" fontId="8" fillId="0" borderId="0" xfId="0" applyFont="1"/>
    <xf numFmtId="0" fontId="8" fillId="0" borderId="0" xfId="0" applyFont="1" applyAlignment="1">
      <alignment horizontal="left"/>
    </xf>
    <xf numFmtId="0" fontId="9" fillId="2" borderId="0" xfId="0" applyFont="1" applyFill="1" applyAlignment="1">
      <alignment horizontal="center" vertical="center"/>
    </xf>
    <xf numFmtId="9" fontId="9" fillId="2" borderId="0" xfId="0" applyNumberFormat="1" applyFont="1" applyFill="1" applyAlignment="1">
      <alignment horizontal="center" vertical="center"/>
    </xf>
    <xf numFmtId="2" fontId="9" fillId="2" borderId="0" xfId="0" applyNumberFormat="1" applyFont="1" applyFill="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0" fillId="4" borderId="0" xfId="0" applyFont="1" applyFill="1"/>
    <xf numFmtId="0" fontId="0" fillId="4" borderId="0" xfId="0" applyFill="1"/>
    <xf numFmtId="0" fontId="11" fillId="4" borderId="0" xfId="0" applyFont="1" applyFill="1"/>
  </cellXfs>
  <cellStyles count="2">
    <cellStyle name="Normal" xfId="0" builtinId="0"/>
    <cellStyle name="Percent" xfId="1" builtinId="5"/>
  </cellStyles>
  <dxfs count="10">
    <dxf>
      <numFmt numFmtId="13" formatCode="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none">
          <fgColor indexed="64"/>
          <bgColor indexed="65"/>
        </patternFill>
      </fill>
      <alignment horizontal="center" vertical="bottom" textRotation="0" wrapText="0" indent="0" justifyLastLine="0" shrinkToFit="0" readingOrder="0"/>
    </dxf>
    <dxf>
      <numFmt numFmtId="2" formatCode="0.0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bottom" textRotation="0" wrapText="0" indent="0" justifyLastLine="0" shrinkToFit="0" readingOrder="0"/>
    </dxf>
    <dxf>
      <numFmt numFmtId="13" formatCode="0%"/>
    </dxf>
    <dxf>
      <numFmt numFmtId="0" formatCode="General"/>
    </dxf>
    <dxf>
      <numFmt numFmtId="0" formatCode="General"/>
    </dxf>
    <dxf>
      <font>
        <strike val="0"/>
        <outline val="0"/>
        <shadow val="0"/>
        <u val="none"/>
        <vertAlign val="baseline"/>
        <sz val="11"/>
        <color auto="1"/>
        <name val="Calibri"/>
        <family val="2"/>
        <scheme val="minor"/>
      </font>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dxf>
  </dxfs>
  <tableStyles count="0" defaultTableStyle="TableStyleMedium9" defaultPivotStyle="PivotStyleLight16"/>
  <colors>
    <mruColors>
      <color rgb="FF66CCFF"/>
      <color rgb="FF00FFFF"/>
      <color rgb="FF0099FF"/>
      <color rgb="FFCC99FF"/>
      <color rgb="FFCC00FF"/>
      <color rgb="FFFCCDB6"/>
      <color rgb="FFF88C56"/>
      <color rgb="FF190F01"/>
      <color rgb="FFB7F182"/>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sz="1400" b="0" i="0" u="none" strike="noStrike" baseline="0">
                <a:solidFill>
                  <a:srgbClr val="FF0000"/>
                </a:solidFill>
              </a:rPr>
              <a:t>Placement Rate by Branch</a:t>
            </a:r>
          </a:p>
        </c:rich>
      </c:tx>
      <c:layout>
        <c:manualLayout>
          <c:xMode val="edge"/>
          <c:yMode val="edge"/>
          <c:x val="0.32744300681711302"/>
          <c:y val="8.1228776050772042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barChart>
        <c:barDir val="col"/>
        <c:grouping val="clustered"/>
        <c:varyColors val="0"/>
        <c:ser>
          <c:idx val="0"/>
          <c:order val="0"/>
          <c:tx>
            <c:strRef>
              <c:f>Charts!$B$1</c:f>
              <c:strCache>
                <c:ptCount val="1"/>
                <c:pt idx="0">
                  <c:v>Placement%</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Charts!$A$2:$A$8</c:f>
              <c:strCache>
                <c:ptCount val="7"/>
                <c:pt idx="0">
                  <c:v>Civil</c:v>
                </c:pt>
                <c:pt idx="1">
                  <c:v>CSE</c:v>
                </c:pt>
                <c:pt idx="2">
                  <c:v>ECE</c:v>
                </c:pt>
                <c:pt idx="3">
                  <c:v>EE</c:v>
                </c:pt>
                <c:pt idx="4">
                  <c:v>IT</c:v>
                </c:pt>
                <c:pt idx="5">
                  <c:v>MBA</c:v>
                </c:pt>
                <c:pt idx="6">
                  <c:v>Mechanical</c:v>
                </c:pt>
              </c:strCache>
            </c:strRef>
          </c:cat>
          <c:val>
            <c:numRef>
              <c:f>Charts!$B$2:$B$8</c:f>
              <c:numCache>
                <c:formatCode>0%</c:formatCode>
                <c:ptCount val="7"/>
                <c:pt idx="0">
                  <c:v>0.66666666666666663</c:v>
                </c:pt>
                <c:pt idx="1">
                  <c:v>0.69117647058823528</c:v>
                </c:pt>
                <c:pt idx="2">
                  <c:v>0.65</c:v>
                </c:pt>
                <c:pt idx="3">
                  <c:v>0.65</c:v>
                </c:pt>
                <c:pt idx="4">
                  <c:v>0.69387755102040816</c:v>
                </c:pt>
                <c:pt idx="5">
                  <c:v>0.625</c:v>
                </c:pt>
                <c:pt idx="6">
                  <c:v>0.49230769230769234</c:v>
                </c:pt>
              </c:numCache>
            </c:numRef>
          </c:val>
          <c:extLst>
            <c:ext xmlns:c16="http://schemas.microsoft.com/office/drawing/2014/chart" uri="{C3380CC4-5D6E-409C-BE32-E72D297353CC}">
              <c16:uniqueId val="{00000000-EBF7-4AD8-89AF-9031725F00DF}"/>
            </c:ext>
          </c:extLst>
        </c:ser>
        <c:dLbls>
          <c:dLblPos val="outEnd"/>
          <c:showLegendKey val="0"/>
          <c:showVal val="1"/>
          <c:showCatName val="0"/>
          <c:showSerName val="0"/>
          <c:showPercent val="0"/>
          <c:showBubbleSize val="0"/>
        </c:dLbls>
        <c:gapWidth val="219"/>
        <c:overlap val="-27"/>
        <c:axId val="404129248"/>
        <c:axId val="404128528"/>
      </c:barChart>
      <c:catAx>
        <c:axId val="404129248"/>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Branch</a:t>
                </a:r>
              </a:p>
            </c:rich>
          </c:tx>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128528"/>
        <c:crosses val="autoZero"/>
        <c:auto val="1"/>
        <c:lblAlgn val="ctr"/>
        <c:lblOffset val="100"/>
        <c:noMultiLvlLbl val="0"/>
      </c:catAx>
      <c:valAx>
        <c:axId val="404128528"/>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Percantage Of Students Placed</a:t>
                </a:r>
              </a:p>
            </c:rich>
          </c:tx>
          <c:layout>
            <c:manualLayout>
              <c:xMode val="edge"/>
              <c:yMode val="edge"/>
              <c:x val="2.4132070312250335E-2"/>
              <c:y val="9.9201698002956043E-2"/>
            </c:manualLayout>
          </c:layout>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12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sz="1400" b="0" i="0" u="none" strike="noStrike" baseline="0">
                <a:solidFill>
                  <a:srgbClr val="FF0000"/>
                </a:solidFill>
              </a:rPr>
              <a:t>Average Package by Skill</a:t>
            </a:r>
          </a:p>
        </c:rich>
      </c:tx>
      <c:layout>
        <c:manualLayout>
          <c:xMode val="edge"/>
          <c:yMode val="edge"/>
          <c:x val="0.32019317188459456"/>
          <c:y val="9.2780033152424449E-3"/>
        </c:manualLayout>
      </c:layout>
      <c:overlay val="0"/>
      <c:spPr>
        <a:solidFill>
          <a:srgbClr val="66CCFF"/>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manualLayout>
          <c:layoutTarget val="inner"/>
          <c:xMode val="edge"/>
          <c:yMode val="edge"/>
          <c:x val="0.21066325815078993"/>
          <c:y val="8.7079394139078004E-2"/>
          <c:w val="0.71709908136482936"/>
          <c:h val="0.84539252163710732"/>
        </c:manualLayout>
      </c:layout>
      <c:barChart>
        <c:barDir val="bar"/>
        <c:grouping val="clustered"/>
        <c:varyColors val="0"/>
        <c:ser>
          <c:idx val="0"/>
          <c:order val="0"/>
          <c:tx>
            <c:strRef>
              <c:f>Charts!$B$15</c:f>
              <c:strCache>
                <c:ptCount val="1"/>
                <c:pt idx="0">
                  <c:v>Average_Package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Charts!$A$16:$A$52</c:f>
              <c:strCache>
                <c:ptCount val="37"/>
                <c:pt idx="0">
                  <c:v>AutoCAD</c:v>
                </c:pt>
                <c:pt idx="1">
                  <c:v>Project Planning</c:v>
                </c:pt>
                <c:pt idx="2">
                  <c:v>Quality Control</c:v>
                </c:pt>
                <c:pt idx="3">
                  <c:v>Quantity Surveying</c:v>
                </c:pt>
                <c:pt idx="4">
                  <c:v>HR Analytics</c:v>
                </c:pt>
                <c:pt idx="5">
                  <c:v>Web Development</c:v>
                </c:pt>
                <c:pt idx="6">
                  <c:v>Manufacturing</c:v>
                </c:pt>
                <c:pt idx="7">
                  <c:v>AutoCAD Electrical</c:v>
                </c:pt>
                <c:pt idx="8">
                  <c:v>STAAD Pro</c:v>
                </c:pt>
                <c:pt idx="9">
                  <c:v>Renewable Energy</c:v>
                </c:pt>
                <c:pt idx="10">
                  <c:v>ANSYS</c:v>
                </c:pt>
                <c:pt idx="11">
                  <c:v>MATLAB</c:v>
                </c:pt>
                <c:pt idx="12">
                  <c:v>Business Analytics</c:v>
                </c:pt>
                <c:pt idx="13">
                  <c:v>Machine Learning</c:v>
                </c:pt>
                <c:pt idx="14">
                  <c:v>Digital Electronics</c:v>
                </c:pt>
                <c:pt idx="15">
                  <c:v>SCADA</c:v>
                </c:pt>
                <c:pt idx="16">
                  <c:v>PLC</c:v>
                </c:pt>
                <c:pt idx="17">
                  <c:v>Presentation Skills</c:v>
                </c:pt>
                <c:pt idx="18">
                  <c:v>Cloud Basics</c:v>
                </c:pt>
                <c:pt idx="19">
                  <c:v>Surveying</c:v>
                </c:pt>
                <c:pt idx="20">
                  <c:v>CATIA</c:v>
                </c:pt>
                <c:pt idx="21">
                  <c:v>Excel</c:v>
                </c:pt>
                <c:pt idx="22">
                  <c:v>Java</c:v>
                </c:pt>
                <c:pt idx="23">
                  <c:v>VLSI</c:v>
                </c:pt>
                <c:pt idx="24">
                  <c:v>Estimation</c:v>
                </c:pt>
                <c:pt idx="25">
                  <c:v>C</c:v>
                </c:pt>
                <c:pt idx="26">
                  <c:v>Revit</c:v>
                </c:pt>
                <c:pt idx="27">
                  <c:v>Power Systems</c:v>
                </c:pt>
                <c:pt idx="28">
                  <c:v>SQL</c:v>
                </c:pt>
                <c:pt idx="29">
                  <c:v>Python</c:v>
                </c:pt>
                <c:pt idx="30">
                  <c:v>Data Analytics</c:v>
                </c:pt>
                <c:pt idx="31">
                  <c:v>Testing</c:v>
                </c:pt>
                <c:pt idx="32">
                  <c:v>Power BI</c:v>
                </c:pt>
                <c:pt idx="33">
                  <c:v>IoT</c:v>
                </c:pt>
                <c:pt idx="34">
                  <c:v>Embedded Systems</c:v>
                </c:pt>
                <c:pt idx="35">
                  <c:v>SolidWorks</c:v>
                </c:pt>
                <c:pt idx="36">
                  <c:v>Finance</c:v>
                </c:pt>
              </c:strCache>
            </c:strRef>
          </c:cat>
          <c:val>
            <c:numRef>
              <c:f>Charts!$B$16:$B$52</c:f>
              <c:numCache>
                <c:formatCode>0.00</c:formatCode>
                <c:ptCount val="37"/>
                <c:pt idx="0">
                  <c:v>3.4000000000000004</c:v>
                </c:pt>
                <c:pt idx="1">
                  <c:v>3.75</c:v>
                </c:pt>
                <c:pt idx="2">
                  <c:v>4.0222222222222221</c:v>
                </c:pt>
                <c:pt idx="3">
                  <c:v>4.0666666666666664</c:v>
                </c:pt>
                <c:pt idx="4">
                  <c:v>4.5</c:v>
                </c:pt>
                <c:pt idx="5">
                  <c:v>4.8</c:v>
                </c:pt>
                <c:pt idx="6">
                  <c:v>4.9888888888888889</c:v>
                </c:pt>
                <c:pt idx="7">
                  <c:v>5.35</c:v>
                </c:pt>
                <c:pt idx="8">
                  <c:v>5.5333333333333341</c:v>
                </c:pt>
                <c:pt idx="9">
                  <c:v>5.5636363636363635</c:v>
                </c:pt>
                <c:pt idx="10">
                  <c:v>5.6352941176470583</c:v>
                </c:pt>
                <c:pt idx="11">
                  <c:v>5.8239999999999998</c:v>
                </c:pt>
                <c:pt idx="12">
                  <c:v>6.1</c:v>
                </c:pt>
                <c:pt idx="13">
                  <c:v>6.338461538461539</c:v>
                </c:pt>
                <c:pt idx="14">
                  <c:v>6.375</c:v>
                </c:pt>
                <c:pt idx="15">
                  <c:v>6.65</c:v>
                </c:pt>
                <c:pt idx="16">
                  <c:v>6.92</c:v>
                </c:pt>
                <c:pt idx="17">
                  <c:v>6.94</c:v>
                </c:pt>
                <c:pt idx="18">
                  <c:v>7.536363636363637</c:v>
                </c:pt>
                <c:pt idx="19">
                  <c:v>7.6499999999999986</c:v>
                </c:pt>
                <c:pt idx="20">
                  <c:v>7.7</c:v>
                </c:pt>
                <c:pt idx="21">
                  <c:v>7.7546875000000011</c:v>
                </c:pt>
                <c:pt idx="22">
                  <c:v>8.0000000000000018</c:v>
                </c:pt>
                <c:pt idx="23">
                  <c:v>8.09</c:v>
                </c:pt>
                <c:pt idx="24">
                  <c:v>8.1</c:v>
                </c:pt>
                <c:pt idx="25">
                  <c:v>8.1142857142857139</c:v>
                </c:pt>
                <c:pt idx="26">
                  <c:v>8.2714285714285705</c:v>
                </c:pt>
                <c:pt idx="27">
                  <c:v>8.5400000000000009</c:v>
                </c:pt>
                <c:pt idx="28">
                  <c:v>8.8394736842105264</c:v>
                </c:pt>
                <c:pt idx="29">
                  <c:v>9.6437499999999989</c:v>
                </c:pt>
                <c:pt idx="30">
                  <c:v>9.6444444444444457</c:v>
                </c:pt>
                <c:pt idx="31">
                  <c:v>10.49</c:v>
                </c:pt>
                <c:pt idx="32">
                  <c:v>10.595000000000002</c:v>
                </c:pt>
                <c:pt idx="33">
                  <c:v>11.2125</c:v>
                </c:pt>
                <c:pt idx="34">
                  <c:v>11.8</c:v>
                </c:pt>
                <c:pt idx="35">
                  <c:v>14.35</c:v>
                </c:pt>
                <c:pt idx="36">
                  <c:v>24.4</c:v>
                </c:pt>
              </c:numCache>
            </c:numRef>
          </c:val>
          <c:extLst>
            <c:ext xmlns:c16="http://schemas.microsoft.com/office/drawing/2014/chart" uri="{C3380CC4-5D6E-409C-BE32-E72D297353CC}">
              <c16:uniqueId val="{00000000-503F-42F5-8B49-0E0E4DC8F2F4}"/>
            </c:ext>
          </c:extLst>
        </c:ser>
        <c:dLbls>
          <c:dLblPos val="outEnd"/>
          <c:showLegendKey val="0"/>
          <c:showVal val="1"/>
          <c:showCatName val="0"/>
          <c:showSerName val="0"/>
          <c:showPercent val="0"/>
          <c:showBubbleSize val="0"/>
        </c:dLbls>
        <c:gapWidth val="182"/>
        <c:axId val="361147840"/>
        <c:axId val="361150000"/>
      </c:barChart>
      <c:catAx>
        <c:axId val="361147840"/>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Skill</a:t>
                </a:r>
              </a:p>
            </c:rich>
          </c:tx>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50000"/>
        <c:crosses val="autoZero"/>
        <c:auto val="1"/>
        <c:lblAlgn val="ctr"/>
        <c:lblOffset val="100"/>
        <c:noMultiLvlLbl val="0"/>
      </c:catAx>
      <c:valAx>
        <c:axId val="361150000"/>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Average</a:t>
                </a:r>
                <a:r>
                  <a:rPr lang="en-IN" sz="1400" b="1" i="1" u="sng" baseline="0"/>
                  <a:t> Package_LPA</a:t>
                </a:r>
              </a:p>
            </c:rich>
          </c:tx>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4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[College_Placement_Analytics_Realistic_500Rows.xlsx]Charts!PivotTable3</c:name>
    <c:fmtId val="1"/>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Placed vs Not Placed</a:t>
            </a:r>
          </a:p>
        </c:rich>
      </c:tx>
      <c:layout>
        <c:manualLayout>
          <c:xMode val="edge"/>
          <c:yMode val="edge"/>
          <c:x val="0.30505419323388833"/>
          <c:y val="0.19298793521718294"/>
        </c:manualLayout>
      </c:layout>
      <c:overlay val="0"/>
      <c:spPr>
        <a:solidFill>
          <a:srgbClr val="CC99FF"/>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7030A0"/>
          </a:solidFill>
          <a:ln w="19050">
            <a:solidFill>
              <a:schemeClr val="lt1"/>
            </a:solidFill>
          </a:ln>
          <a:effectLst/>
        </c:spPr>
      </c:pivotFmt>
    </c:pivotFmts>
    <c:plotArea>
      <c:layout/>
      <c:pieChart>
        <c:varyColors val="1"/>
        <c:ser>
          <c:idx val="0"/>
          <c:order val="0"/>
          <c:tx>
            <c:strRef>
              <c:f>Charts!$B$55</c:f>
              <c:strCache>
                <c:ptCount val="1"/>
                <c:pt idx="0">
                  <c:v>Total</c:v>
                </c:pt>
              </c:strCache>
            </c:strRef>
          </c:tx>
          <c:dPt>
            <c:idx val="0"/>
            <c:bubble3D val="0"/>
            <c:spPr>
              <a:solidFill>
                <a:srgbClr val="7030A0"/>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Charts!$A$56:$A$58</c:f>
              <c:strCache>
                <c:ptCount val="2"/>
                <c:pt idx="0">
                  <c:v>Not Placed</c:v>
                </c:pt>
                <c:pt idx="1">
                  <c:v>Placed</c:v>
                </c:pt>
              </c:strCache>
            </c:strRef>
          </c:cat>
          <c:val>
            <c:numRef>
              <c:f>Charts!$B$56:$B$58</c:f>
              <c:numCache>
                <c:formatCode>General</c:formatCode>
                <c:ptCount val="2"/>
                <c:pt idx="0">
                  <c:v>175</c:v>
                </c:pt>
                <c:pt idx="1">
                  <c:v>325</c:v>
                </c:pt>
              </c:numCache>
            </c:numRef>
          </c:val>
          <c:extLst>
            <c:ext xmlns:c16="http://schemas.microsoft.com/office/drawing/2014/chart" uri="{C3380CC4-5D6E-409C-BE32-E72D297353CC}">
              <c16:uniqueId val="{00000003-028B-4AF7-A018-CAFA1650C2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807629528659714"/>
          <c:y val="0.45861809666481579"/>
          <c:w val="0.13783536226735282"/>
          <c:h val="0.18164494687051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Internship</a:t>
            </a:r>
            <a:r>
              <a:rPr lang="en-US" baseline="0">
                <a:solidFill>
                  <a:srgbClr val="FF0000"/>
                </a:solidFill>
              </a:rPr>
              <a:t> Impact</a:t>
            </a:r>
          </a:p>
        </c:rich>
      </c:tx>
      <c:overlay val="0"/>
      <c:spPr>
        <a:solidFill>
          <a:srgbClr val="FCCDB6"/>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barChart>
        <c:barDir val="col"/>
        <c:grouping val="clustered"/>
        <c:varyColors val="0"/>
        <c:ser>
          <c:idx val="0"/>
          <c:order val="0"/>
          <c:tx>
            <c:strRef>
              <c:f>Charts!$B$69</c:f>
              <c:strCache>
                <c:ptCount val="1"/>
                <c:pt idx="0">
                  <c:v>Placement%</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E2A0-4BBD-AA1B-4FCAC8715417}"/>
              </c:ext>
            </c:extLst>
          </c:dPt>
          <c:dPt>
            <c:idx val="1"/>
            <c:invertIfNegative val="0"/>
            <c:bubble3D val="0"/>
            <c:spPr>
              <a:solidFill>
                <a:srgbClr val="00B050"/>
              </a:solidFill>
              <a:ln>
                <a:noFill/>
              </a:ln>
              <a:effectLst/>
            </c:spPr>
            <c:extLst>
              <c:ext xmlns:c16="http://schemas.microsoft.com/office/drawing/2014/chart" uri="{C3380CC4-5D6E-409C-BE32-E72D297353CC}">
                <c16:uniqueId val="{00000002-E2A0-4BBD-AA1B-4FCAC87154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Charts!$A$70:$A$71</c:f>
              <c:strCache>
                <c:ptCount val="2"/>
                <c:pt idx="0">
                  <c:v>No</c:v>
                </c:pt>
                <c:pt idx="1">
                  <c:v>Yes</c:v>
                </c:pt>
              </c:strCache>
            </c:strRef>
          </c:cat>
          <c:val>
            <c:numRef>
              <c:f>Charts!$B$70:$B$71</c:f>
              <c:numCache>
                <c:formatCode>0%</c:formatCode>
                <c:ptCount val="2"/>
                <c:pt idx="0">
                  <c:v>0.55769230769230771</c:v>
                </c:pt>
                <c:pt idx="1">
                  <c:v>0.71575342465753422</c:v>
                </c:pt>
              </c:numCache>
            </c:numRef>
          </c:val>
          <c:extLst>
            <c:ext xmlns:c16="http://schemas.microsoft.com/office/drawing/2014/chart" uri="{C3380CC4-5D6E-409C-BE32-E72D297353CC}">
              <c16:uniqueId val="{00000000-E2A0-4BBD-AA1B-4FCAC8715417}"/>
            </c:ext>
          </c:extLst>
        </c:ser>
        <c:dLbls>
          <c:dLblPos val="outEnd"/>
          <c:showLegendKey val="0"/>
          <c:showVal val="1"/>
          <c:showCatName val="0"/>
          <c:showSerName val="0"/>
          <c:showPercent val="0"/>
          <c:showBubbleSize val="0"/>
        </c:dLbls>
        <c:gapWidth val="219"/>
        <c:overlap val="-27"/>
        <c:axId val="546322104"/>
        <c:axId val="546319224"/>
      </c:barChart>
      <c:catAx>
        <c:axId val="546322104"/>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Placement</a:t>
                </a:r>
                <a:r>
                  <a:rPr lang="en-IN" sz="1400" b="1" i="1" u="sng" baseline="0"/>
                  <a:t> Percentage</a:t>
                </a:r>
                <a:endParaRPr lang="en-IN" sz="1400" b="1" i="1" u="sng"/>
              </a:p>
            </c:rich>
          </c:tx>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19224"/>
        <c:crosses val="autoZero"/>
        <c:auto val="1"/>
        <c:lblAlgn val="ctr"/>
        <c:lblOffset val="100"/>
        <c:noMultiLvlLbl val="0"/>
      </c:catAx>
      <c:valAx>
        <c:axId val="546319224"/>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Internship Status</a:t>
                </a:r>
              </a:p>
            </c:rich>
          </c:tx>
          <c:layout>
            <c:manualLayout>
              <c:xMode val="edge"/>
              <c:yMode val="edge"/>
              <c:x val="1.0802758973605203E-2"/>
              <c:y val="0.24510535544402895"/>
            </c:manualLayout>
          </c:layout>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22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rgbClr val="FF0000"/>
                </a:solidFill>
                <a:latin typeface="+mn-lt"/>
                <a:ea typeface="+mn-ea"/>
                <a:cs typeface="+mn-cs"/>
              </a:defRPr>
            </a:pPr>
            <a:r>
              <a:rPr lang="en-US">
                <a:solidFill>
                  <a:srgbClr val="FF0000"/>
                </a:solidFill>
              </a:rPr>
              <a:t>Industry-wise Hiring</a:t>
            </a:r>
          </a:p>
        </c:rich>
      </c:tx>
      <c:overlay val="0"/>
      <c:spPr>
        <a:solidFill>
          <a:srgbClr val="B7F182"/>
        </a:solidFill>
        <a:ln>
          <a:noFill/>
        </a:ln>
        <a:effectLst/>
      </c:spPr>
      <c:txPr>
        <a:bodyPr rot="0" spcFirstLastPara="1" vertOverflow="ellipsis" vert="horz" wrap="square" anchor="ctr" anchorCtr="1"/>
        <a:lstStyle/>
        <a:p>
          <a:pPr>
            <a:defRPr sz="1600" b="1" i="0" u="none" strike="noStrike" kern="1200" cap="all" spc="120" normalizeH="0" baseline="0">
              <a:solidFill>
                <a:srgbClr val="FF0000"/>
              </a:solidFill>
              <a:latin typeface="+mn-lt"/>
              <a:ea typeface="+mn-ea"/>
              <a:cs typeface="+mn-cs"/>
            </a:defRPr>
          </a:pPr>
          <a:endParaRPr lang="en-US"/>
        </a:p>
      </c:txPr>
    </c:title>
    <c:autoTitleDeleted val="0"/>
    <c:plotArea>
      <c:layout/>
      <c:barChart>
        <c:barDir val="col"/>
        <c:grouping val="stacked"/>
        <c:varyColors val="0"/>
        <c:ser>
          <c:idx val="0"/>
          <c:order val="0"/>
          <c:tx>
            <c:strRef>
              <c:f>Charts!$B$138</c:f>
              <c:strCache>
                <c:ptCount val="1"/>
                <c:pt idx="0">
                  <c:v>Count Student_ID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Charts!$A$139:$A$145</c:f>
              <c:strCache>
                <c:ptCount val="7"/>
                <c:pt idx="0">
                  <c:v>Business</c:v>
                </c:pt>
                <c:pt idx="1">
                  <c:v>Civil</c:v>
                </c:pt>
                <c:pt idx="2">
                  <c:v>Core/Consulting</c:v>
                </c:pt>
                <c:pt idx="3">
                  <c:v>Electrical</c:v>
                </c:pt>
                <c:pt idx="4">
                  <c:v>Electronics</c:v>
                </c:pt>
                <c:pt idx="5">
                  <c:v>IT</c:v>
                </c:pt>
                <c:pt idx="6">
                  <c:v>Mechanical</c:v>
                </c:pt>
              </c:strCache>
            </c:strRef>
          </c:cat>
          <c:val>
            <c:numRef>
              <c:f>Charts!$B$139:$B$145</c:f>
              <c:numCache>
                <c:formatCode>General</c:formatCode>
                <c:ptCount val="7"/>
                <c:pt idx="0">
                  <c:v>7</c:v>
                </c:pt>
                <c:pt idx="1">
                  <c:v>20</c:v>
                </c:pt>
                <c:pt idx="2">
                  <c:v>14</c:v>
                </c:pt>
                <c:pt idx="3">
                  <c:v>33</c:v>
                </c:pt>
                <c:pt idx="4">
                  <c:v>35</c:v>
                </c:pt>
                <c:pt idx="5">
                  <c:v>192</c:v>
                </c:pt>
                <c:pt idx="6">
                  <c:v>24</c:v>
                </c:pt>
              </c:numCache>
            </c:numRef>
          </c:val>
          <c:extLst>
            <c:ext xmlns:c16="http://schemas.microsoft.com/office/drawing/2014/chart" uri="{C3380CC4-5D6E-409C-BE32-E72D297353CC}">
              <c16:uniqueId val="{00000000-8449-4930-BCC9-2B8488C6074D}"/>
            </c:ext>
          </c:extLst>
        </c:ser>
        <c:dLbls>
          <c:dLblPos val="ctr"/>
          <c:showLegendKey val="0"/>
          <c:showVal val="1"/>
          <c:showCatName val="0"/>
          <c:showSerName val="0"/>
          <c:showPercent val="0"/>
          <c:showBubbleSize val="0"/>
        </c:dLbls>
        <c:gapWidth val="79"/>
        <c:overlap val="100"/>
        <c:axId val="570782784"/>
        <c:axId val="570775584"/>
      </c:barChart>
      <c:catAx>
        <c:axId val="570782784"/>
        <c:scaling>
          <c:orientation val="minMax"/>
        </c:scaling>
        <c:delete val="0"/>
        <c:axPos val="b"/>
        <c:title>
          <c:tx>
            <c:rich>
              <a:bodyPr rot="0" spcFirstLastPara="1" vertOverflow="ellipsis" vert="horz" wrap="square" anchor="ctr" anchorCtr="1"/>
              <a:lstStyle/>
              <a:p>
                <a:pPr>
                  <a:defRPr sz="1400" b="1" i="1" u="sng" strike="noStrike" kern="1200" cap="all" baseline="0">
                    <a:solidFill>
                      <a:schemeClr val="tx1">
                        <a:lumMod val="65000"/>
                        <a:lumOff val="35000"/>
                      </a:schemeClr>
                    </a:solidFill>
                    <a:latin typeface="+mn-lt"/>
                    <a:ea typeface="+mn-ea"/>
                    <a:cs typeface="+mn-cs"/>
                  </a:defRPr>
                </a:pPr>
                <a:r>
                  <a:rPr lang="en-IN" sz="1400" b="1" i="1" u="sng"/>
                  <a:t>Industry</a:t>
                </a:r>
              </a:p>
            </c:rich>
          </c:tx>
          <c:overlay val="0"/>
          <c:spPr>
            <a:noFill/>
            <a:ln>
              <a:noFill/>
            </a:ln>
            <a:effectLst/>
          </c:spPr>
          <c:txPr>
            <a:bodyPr rot="0" spcFirstLastPara="1" vertOverflow="ellipsis" vert="horz" wrap="square" anchor="ctr" anchorCtr="1"/>
            <a:lstStyle/>
            <a:p>
              <a:pPr>
                <a:defRPr sz="1400" b="1" i="1" u="sng"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0775584"/>
        <c:crosses val="autoZero"/>
        <c:auto val="1"/>
        <c:lblAlgn val="ctr"/>
        <c:lblOffset val="100"/>
        <c:noMultiLvlLbl val="0"/>
      </c:catAx>
      <c:valAx>
        <c:axId val="570775584"/>
        <c:scaling>
          <c:orientation val="minMax"/>
        </c:scaling>
        <c:delete val="1"/>
        <c:axPos val="l"/>
        <c:title>
          <c:tx>
            <c:rich>
              <a:bodyPr rot="-5400000" spcFirstLastPara="1" vertOverflow="ellipsis" vert="horz" wrap="square" anchor="ctr" anchorCtr="1"/>
              <a:lstStyle/>
              <a:p>
                <a:pPr>
                  <a:defRPr sz="1400" b="1" i="1" u="sng" strike="noStrike" kern="1200" cap="all" baseline="0">
                    <a:solidFill>
                      <a:schemeClr val="tx1">
                        <a:lumMod val="65000"/>
                        <a:lumOff val="35000"/>
                      </a:schemeClr>
                    </a:solidFill>
                    <a:latin typeface="+mn-lt"/>
                    <a:ea typeface="+mn-ea"/>
                    <a:cs typeface="+mn-cs"/>
                  </a:defRPr>
                </a:pPr>
                <a:r>
                  <a:rPr lang="en-IN" sz="1400" b="1" i="1" u="sng"/>
                  <a:t>Student Count</a:t>
                </a:r>
              </a:p>
            </c:rich>
          </c:tx>
          <c:overlay val="0"/>
          <c:spPr>
            <a:noFill/>
            <a:ln>
              <a:noFill/>
            </a:ln>
            <a:effectLst/>
          </c:spPr>
          <c:txPr>
            <a:bodyPr rot="-5400000" spcFirstLastPara="1" vertOverflow="ellipsis" vert="horz" wrap="square" anchor="ctr" anchorCtr="1"/>
            <a:lstStyle/>
            <a:p>
              <a:pPr>
                <a:defRPr sz="1400" b="1" i="1" u="sng"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7078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r>
              <a:rPr lang="en-US" sz="1600">
                <a:solidFill>
                  <a:srgbClr val="FF0000"/>
                </a:solidFill>
              </a:rPr>
              <a:t>Top Recruiters</a:t>
            </a:r>
          </a:p>
        </c:rich>
      </c:tx>
      <c:overlay val="0"/>
      <c:spPr>
        <a:solidFill>
          <a:srgbClr val="F88C56"/>
        </a:solidFill>
        <a:ln>
          <a:noFill/>
        </a:ln>
        <a:effectLst/>
      </c:spPr>
      <c:txPr>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endParaRPr lang="en-US"/>
        </a:p>
      </c:txPr>
    </c:title>
    <c:autoTitleDeleted val="0"/>
    <c:plotArea>
      <c:layout/>
      <c:barChart>
        <c:barDir val="bar"/>
        <c:grouping val="clustered"/>
        <c:varyColors val="0"/>
        <c:ser>
          <c:idx val="0"/>
          <c:order val="0"/>
          <c:tx>
            <c:strRef>
              <c:f>Charts!$B$88</c:f>
              <c:strCache>
                <c:ptCount val="1"/>
                <c:pt idx="0">
                  <c:v>Count Student_ID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Charts!$A$89:$A$133</c:f>
              <c:strCache>
                <c:ptCount val="44"/>
                <c:pt idx="0">
                  <c:v>IBM</c:v>
                </c:pt>
                <c:pt idx="1">
                  <c:v>Capgemini</c:v>
                </c:pt>
                <c:pt idx="2">
                  <c:v>Infosys</c:v>
                </c:pt>
                <c:pt idx="3">
                  <c:v>Deloitte</c:v>
                </c:pt>
                <c:pt idx="4">
                  <c:v>Accenture</c:v>
                </c:pt>
                <c:pt idx="5">
                  <c:v>Cognizant</c:v>
                </c:pt>
                <c:pt idx="6">
                  <c:v>TCS</c:v>
                </c:pt>
                <c:pt idx="7">
                  <c:v>HCL</c:v>
                </c:pt>
                <c:pt idx="8">
                  <c:v>Wipro</c:v>
                </c:pt>
                <c:pt idx="9">
                  <c:v>Bosch</c:v>
                </c:pt>
                <c:pt idx="10">
                  <c:v>Schneider Electric</c:v>
                </c:pt>
                <c:pt idx="11">
                  <c:v>L&amp;T</c:v>
                </c:pt>
                <c:pt idx="12">
                  <c:v>NXP</c:v>
                </c:pt>
                <c:pt idx="13">
                  <c:v>Texas Instruments</c:v>
                </c:pt>
                <c:pt idx="14">
                  <c:v>CG Power</c:v>
                </c:pt>
                <c:pt idx="15">
                  <c:v>Qualcomm</c:v>
                </c:pt>
                <c:pt idx="16">
                  <c:v>Tata Motors</c:v>
                </c:pt>
                <c:pt idx="17">
                  <c:v>Tata Power</c:v>
                </c:pt>
                <c:pt idx="18">
                  <c:v>Afcons</c:v>
                </c:pt>
                <c:pt idx="19">
                  <c:v>Ashok Leyland</c:v>
                </c:pt>
                <c:pt idx="20">
                  <c:v>Honeywell</c:v>
                </c:pt>
                <c:pt idx="21">
                  <c:v>L&amp;T Construction</c:v>
                </c:pt>
                <c:pt idx="22">
                  <c:v>Maruti Suzuki</c:v>
                </c:pt>
                <c:pt idx="23">
                  <c:v>Siemens</c:v>
                </c:pt>
                <c:pt idx="24">
                  <c:v>Bajaj Auto</c:v>
                </c:pt>
                <c:pt idx="25">
                  <c:v>Eaton</c:v>
                </c:pt>
                <c:pt idx="26">
                  <c:v>Hero MotoCorp</c:v>
                </c:pt>
                <c:pt idx="27">
                  <c:v>KPMG</c:v>
                </c:pt>
                <c:pt idx="28">
                  <c:v>NCC</c:v>
                </c:pt>
                <c:pt idx="29">
                  <c:v>Samsung</c:v>
                </c:pt>
                <c:pt idx="30">
                  <c:v>Sony</c:v>
                </c:pt>
                <c:pt idx="31">
                  <c:v>Tata Projects</c:v>
                </c:pt>
                <c:pt idx="32">
                  <c:v>ABB</c:v>
                </c:pt>
                <c:pt idx="33">
                  <c:v>DLF</c:v>
                </c:pt>
                <c:pt idx="34">
                  <c:v>Intel</c:v>
                </c:pt>
                <c:pt idx="35">
                  <c:v>IRCON</c:v>
                </c:pt>
                <c:pt idx="36">
                  <c:v>JCB</c:v>
                </c:pt>
                <c:pt idx="37">
                  <c:v>Thermax</c:v>
                </c:pt>
                <c:pt idx="38">
                  <c:v>Analog Devices</c:v>
                </c:pt>
                <c:pt idx="39">
                  <c:v>EY</c:v>
                </c:pt>
                <c:pt idx="40">
                  <c:v>Godrej</c:v>
                </c:pt>
                <c:pt idx="41">
                  <c:v>L&amp;T Electrical</c:v>
                </c:pt>
                <c:pt idx="42">
                  <c:v>Punj Lloyd</c:v>
                </c:pt>
                <c:pt idx="43">
                  <c:v>Shapoorji Pallonji</c:v>
                </c:pt>
              </c:strCache>
            </c:strRef>
          </c:cat>
          <c:val>
            <c:numRef>
              <c:f>Charts!$B$89:$B$133</c:f>
              <c:numCache>
                <c:formatCode>General</c:formatCode>
                <c:ptCount val="44"/>
                <c:pt idx="0">
                  <c:v>26</c:v>
                </c:pt>
                <c:pt idx="1">
                  <c:v>25</c:v>
                </c:pt>
                <c:pt idx="2">
                  <c:v>25</c:v>
                </c:pt>
                <c:pt idx="3">
                  <c:v>23</c:v>
                </c:pt>
                <c:pt idx="4">
                  <c:v>22</c:v>
                </c:pt>
                <c:pt idx="5">
                  <c:v>22</c:v>
                </c:pt>
                <c:pt idx="6">
                  <c:v>20</c:v>
                </c:pt>
                <c:pt idx="7">
                  <c:v>19</c:v>
                </c:pt>
                <c:pt idx="8">
                  <c:v>16</c:v>
                </c:pt>
                <c:pt idx="9">
                  <c:v>10</c:v>
                </c:pt>
                <c:pt idx="10">
                  <c:v>8</c:v>
                </c:pt>
                <c:pt idx="11">
                  <c:v>7</c:v>
                </c:pt>
                <c:pt idx="12">
                  <c:v>7</c:v>
                </c:pt>
                <c:pt idx="13">
                  <c:v>7</c:v>
                </c:pt>
                <c:pt idx="14">
                  <c:v>6</c:v>
                </c:pt>
                <c:pt idx="15">
                  <c:v>6</c:v>
                </c:pt>
                <c:pt idx="16">
                  <c:v>5</c:v>
                </c:pt>
                <c:pt idx="17">
                  <c:v>5</c:v>
                </c:pt>
                <c:pt idx="18">
                  <c:v>4</c:v>
                </c:pt>
                <c:pt idx="19">
                  <c:v>4</c:v>
                </c:pt>
                <c:pt idx="20">
                  <c:v>4</c:v>
                </c:pt>
                <c:pt idx="21">
                  <c:v>4</c:v>
                </c:pt>
                <c:pt idx="22">
                  <c:v>4</c:v>
                </c:pt>
                <c:pt idx="23">
                  <c:v>4</c:v>
                </c:pt>
                <c:pt idx="24">
                  <c:v>3</c:v>
                </c:pt>
                <c:pt idx="25">
                  <c:v>3</c:v>
                </c:pt>
                <c:pt idx="26">
                  <c:v>3</c:v>
                </c:pt>
                <c:pt idx="27">
                  <c:v>3</c:v>
                </c:pt>
                <c:pt idx="28">
                  <c:v>3</c:v>
                </c:pt>
                <c:pt idx="29">
                  <c:v>3</c:v>
                </c:pt>
                <c:pt idx="30">
                  <c:v>3</c:v>
                </c:pt>
                <c:pt idx="31">
                  <c:v>3</c:v>
                </c:pt>
                <c:pt idx="32">
                  <c:v>2</c:v>
                </c:pt>
                <c:pt idx="33">
                  <c:v>2</c:v>
                </c:pt>
                <c:pt idx="34">
                  <c:v>2</c:v>
                </c:pt>
                <c:pt idx="35">
                  <c:v>2</c:v>
                </c:pt>
                <c:pt idx="36">
                  <c:v>2</c:v>
                </c:pt>
                <c:pt idx="37">
                  <c:v>2</c:v>
                </c:pt>
                <c:pt idx="38">
                  <c:v>1</c:v>
                </c:pt>
                <c:pt idx="39">
                  <c:v>1</c:v>
                </c:pt>
                <c:pt idx="40">
                  <c:v>1</c:v>
                </c:pt>
                <c:pt idx="41">
                  <c:v>1</c:v>
                </c:pt>
                <c:pt idx="42">
                  <c:v>1</c:v>
                </c:pt>
                <c:pt idx="43">
                  <c:v>1</c:v>
                </c:pt>
              </c:numCache>
            </c:numRef>
          </c:val>
          <c:extLst>
            <c:ext xmlns:c16="http://schemas.microsoft.com/office/drawing/2014/chart" uri="{C3380CC4-5D6E-409C-BE32-E72D297353CC}">
              <c16:uniqueId val="{00000000-5DE0-421E-A8B6-8D997FE51CC2}"/>
            </c:ext>
          </c:extLst>
        </c:ser>
        <c:dLbls>
          <c:dLblPos val="outEnd"/>
          <c:showLegendKey val="0"/>
          <c:showVal val="1"/>
          <c:showCatName val="0"/>
          <c:showSerName val="0"/>
          <c:showPercent val="0"/>
          <c:showBubbleSize val="0"/>
        </c:dLbls>
        <c:gapWidth val="182"/>
        <c:axId val="843089264"/>
        <c:axId val="843084944"/>
      </c:barChart>
      <c:catAx>
        <c:axId val="843089264"/>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Companies</a:t>
                </a:r>
              </a:p>
            </c:rich>
          </c:tx>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084944"/>
        <c:crosses val="autoZero"/>
        <c:auto val="1"/>
        <c:lblAlgn val="ctr"/>
        <c:lblOffset val="100"/>
        <c:noMultiLvlLbl val="0"/>
      </c:catAx>
      <c:valAx>
        <c:axId val="843084944"/>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Student Count</a:t>
                </a:r>
              </a:p>
            </c:rich>
          </c:tx>
          <c:layout>
            <c:manualLayout>
              <c:xMode val="edge"/>
              <c:yMode val="edge"/>
              <c:x val="0.44770734908136484"/>
              <c:y val="0.95414570781264496"/>
            </c:manualLayout>
          </c:layout>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08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1400" b="0" i="0" u="none" strike="noStrike" kern="1200" spc="0" baseline="0">
                <a:solidFill>
                  <a:srgbClr val="FF0000"/>
                </a:solidFill>
              </a:rPr>
              <a:t>CGPA Impact on Placement</a:t>
            </a:r>
          </a:p>
        </c:rich>
      </c:tx>
      <c:overlay val="0"/>
      <c:spPr>
        <a:solidFill>
          <a:srgbClr val="7030A0"/>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lineChart>
        <c:grouping val="standard"/>
        <c:varyColors val="0"/>
        <c:ser>
          <c:idx val="0"/>
          <c:order val="0"/>
          <c:tx>
            <c:strRef>
              <c:f>Charts!$B$158</c:f>
              <c:strCache>
                <c:ptCount val="1"/>
                <c:pt idx="0">
                  <c:v>Placement%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Charts!$A$159:$A$162</c:f>
              <c:strCache>
                <c:ptCount val="4"/>
                <c:pt idx="0">
                  <c:v>Below 7</c:v>
                </c:pt>
                <c:pt idx="1">
                  <c:v>7-8</c:v>
                </c:pt>
                <c:pt idx="2">
                  <c:v>8-9</c:v>
                </c:pt>
                <c:pt idx="3">
                  <c:v>9+</c:v>
                </c:pt>
              </c:strCache>
            </c:strRef>
          </c:cat>
          <c:val>
            <c:numRef>
              <c:f>Charts!$B$159:$B$162</c:f>
              <c:numCache>
                <c:formatCode>0%</c:formatCode>
                <c:ptCount val="4"/>
                <c:pt idx="0">
                  <c:v>0.54</c:v>
                </c:pt>
                <c:pt idx="1">
                  <c:v>0.64761904761904765</c:v>
                </c:pt>
                <c:pt idx="2">
                  <c:v>0.7678571428571429</c:v>
                </c:pt>
                <c:pt idx="3">
                  <c:v>0.72448979591836737</c:v>
                </c:pt>
              </c:numCache>
            </c:numRef>
          </c:val>
          <c:smooth val="0"/>
          <c:extLst>
            <c:ext xmlns:c16="http://schemas.microsoft.com/office/drawing/2014/chart" uri="{C3380CC4-5D6E-409C-BE32-E72D297353CC}">
              <c16:uniqueId val="{00000000-DE6C-45FD-9207-B38F9A95E3A8}"/>
            </c:ext>
          </c:extLst>
        </c:ser>
        <c:dLbls>
          <c:dLblPos val="t"/>
          <c:showLegendKey val="0"/>
          <c:showVal val="1"/>
          <c:showCatName val="0"/>
          <c:showSerName val="0"/>
          <c:showPercent val="0"/>
          <c:showBubbleSize val="0"/>
        </c:dLbls>
        <c:smooth val="0"/>
        <c:axId val="400661128"/>
        <c:axId val="540843408"/>
      </c:lineChart>
      <c:catAx>
        <c:axId val="400661128"/>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CGPA</a:t>
                </a:r>
                <a:r>
                  <a:rPr lang="en-IN" sz="1400" b="1" i="1" u="sng" baseline="0"/>
                  <a:t> Group</a:t>
                </a:r>
                <a:endParaRPr lang="en-IN" sz="1400" b="1" i="1" u="sng"/>
              </a:p>
            </c:rich>
          </c:tx>
          <c:layout>
            <c:manualLayout>
              <c:xMode val="edge"/>
              <c:yMode val="edge"/>
              <c:x val="0.46562324214803369"/>
              <c:y val="0.86142957690554589"/>
            </c:manualLayout>
          </c:layout>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43408"/>
        <c:crosses val="autoZero"/>
        <c:auto val="1"/>
        <c:lblAlgn val="ctr"/>
        <c:lblOffset val="100"/>
        <c:noMultiLvlLbl val="0"/>
      </c:catAx>
      <c:valAx>
        <c:axId val="540843408"/>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Percentage of Placement</a:t>
                </a:r>
              </a:p>
            </c:rich>
          </c:tx>
          <c:layout>
            <c:manualLayout>
              <c:xMode val="edge"/>
              <c:yMode val="edge"/>
              <c:x val="1.0837242705085005E-2"/>
              <c:y val="0.14778082010970528"/>
            </c:manualLayout>
          </c:layout>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61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sz="1400" b="0" i="0" u="none" strike="noStrike" baseline="0">
                <a:solidFill>
                  <a:srgbClr val="FF0000"/>
                </a:solidFill>
              </a:rPr>
              <a:t>Placement Rate by Branch</a:t>
            </a:r>
          </a:p>
        </c:rich>
      </c:tx>
      <c:layout>
        <c:manualLayout>
          <c:xMode val="edge"/>
          <c:yMode val="edge"/>
          <c:x val="0.32744293229985189"/>
          <c:y val="3.694313022987121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barChart>
        <c:barDir val="col"/>
        <c:grouping val="clustered"/>
        <c:varyColors val="0"/>
        <c:ser>
          <c:idx val="0"/>
          <c:order val="0"/>
          <c:tx>
            <c:strRef>
              <c:f>Charts!$B$1</c:f>
              <c:strCache>
                <c:ptCount val="1"/>
                <c:pt idx="0">
                  <c:v>Placement%</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Charts!$A$2:$A$8</c:f>
              <c:strCache>
                <c:ptCount val="7"/>
                <c:pt idx="0">
                  <c:v>Civil</c:v>
                </c:pt>
                <c:pt idx="1">
                  <c:v>CSE</c:v>
                </c:pt>
                <c:pt idx="2">
                  <c:v>ECE</c:v>
                </c:pt>
                <c:pt idx="3">
                  <c:v>EE</c:v>
                </c:pt>
                <c:pt idx="4">
                  <c:v>IT</c:v>
                </c:pt>
                <c:pt idx="5">
                  <c:v>MBA</c:v>
                </c:pt>
                <c:pt idx="6">
                  <c:v>Mechanical</c:v>
                </c:pt>
              </c:strCache>
            </c:strRef>
          </c:cat>
          <c:val>
            <c:numRef>
              <c:f>Charts!$B$2:$B$8</c:f>
              <c:numCache>
                <c:formatCode>0%</c:formatCode>
                <c:ptCount val="7"/>
                <c:pt idx="0">
                  <c:v>0.66666666666666663</c:v>
                </c:pt>
                <c:pt idx="1">
                  <c:v>0.69117647058823528</c:v>
                </c:pt>
                <c:pt idx="2">
                  <c:v>0.65</c:v>
                </c:pt>
                <c:pt idx="3">
                  <c:v>0.65</c:v>
                </c:pt>
                <c:pt idx="4">
                  <c:v>0.69387755102040816</c:v>
                </c:pt>
                <c:pt idx="5">
                  <c:v>0.625</c:v>
                </c:pt>
                <c:pt idx="6">
                  <c:v>0.49230769230769234</c:v>
                </c:pt>
              </c:numCache>
            </c:numRef>
          </c:val>
          <c:extLst>
            <c:ext xmlns:c16="http://schemas.microsoft.com/office/drawing/2014/chart" uri="{C3380CC4-5D6E-409C-BE32-E72D297353CC}">
              <c16:uniqueId val="{00000000-B193-49A6-814E-5FD238549055}"/>
            </c:ext>
          </c:extLst>
        </c:ser>
        <c:dLbls>
          <c:dLblPos val="outEnd"/>
          <c:showLegendKey val="0"/>
          <c:showVal val="1"/>
          <c:showCatName val="0"/>
          <c:showSerName val="0"/>
          <c:showPercent val="0"/>
          <c:showBubbleSize val="0"/>
        </c:dLbls>
        <c:gapWidth val="219"/>
        <c:overlap val="-27"/>
        <c:axId val="404129248"/>
        <c:axId val="404128528"/>
      </c:barChart>
      <c:catAx>
        <c:axId val="404129248"/>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Branch</a:t>
                </a:r>
              </a:p>
            </c:rich>
          </c:tx>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128528"/>
        <c:crosses val="autoZero"/>
        <c:auto val="1"/>
        <c:lblAlgn val="ctr"/>
        <c:lblOffset val="100"/>
        <c:noMultiLvlLbl val="0"/>
      </c:catAx>
      <c:valAx>
        <c:axId val="404128528"/>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Percantage Of Students Placed</a:t>
                </a:r>
              </a:p>
            </c:rich>
          </c:tx>
          <c:layout>
            <c:manualLayout>
              <c:xMode val="edge"/>
              <c:yMode val="edge"/>
              <c:x val="2.4132070312250335E-2"/>
              <c:y val="9.9201698002956043E-2"/>
            </c:manualLayout>
          </c:layout>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12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sz="1400" b="0" i="0" u="none" strike="noStrike" baseline="0">
                <a:solidFill>
                  <a:srgbClr val="FF0000"/>
                </a:solidFill>
              </a:rPr>
              <a:t>Average Package by Skill</a:t>
            </a:r>
          </a:p>
        </c:rich>
      </c:tx>
      <c:layout>
        <c:manualLayout>
          <c:xMode val="edge"/>
          <c:yMode val="edge"/>
          <c:x val="0.32019317188459456"/>
          <c:y val="9.2780033152424449E-3"/>
        </c:manualLayout>
      </c:layout>
      <c:overlay val="0"/>
      <c:spPr>
        <a:solidFill>
          <a:srgbClr val="66CCFF"/>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manualLayout>
          <c:layoutTarget val="inner"/>
          <c:xMode val="edge"/>
          <c:yMode val="edge"/>
          <c:x val="0.22954319387640179"/>
          <c:y val="8.2072106492297001E-2"/>
          <c:w val="0.71709908136482936"/>
          <c:h val="0.84539252163710732"/>
        </c:manualLayout>
      </c:layout>
      <c:barChart>
        <c:barDir val="bar"/>
        <c:grouping val="clustered"/>
        <c:varyColors val="0"/>
        <c:ser>
          <c:idx val="0"/>
          <c:order val="0"/>
          <c:tx>
            <c:strRef>
              <c:f>Charts!$B$15</c:f>
              <c:strCache>
                <c:ptCount val="1"/>
                <c:pt idx="0">
                  <c:v>Average_Package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Charts!$A$16:$A$52</c:f>
              <c:strCache>
                <c:ptCount val="37"/>
                <c:pt idx="0">
                  <c:v>AutoCAD</c:v>
                </c:pt>
                <c:pt idx="1">
                  <c:v>Project Planning</c:v>
                </c:pt>
                <c:pt idx="2">
                  <c:v>Quality Control</c:v>
                </c:pt>
                <c:pt idx="3">
                  <c:v>Quantity Surveying</c:v>
                </c:pt>
                <c:pt idx="4">
                  <c:v>HR Analytics</c:v>
                </c:pt>
                <c:pt idx="5">
                  <c:v>Web Development</c:v>
                </c:pt>
                <c:pt idx="6">
                  <c:v>Manufacturing</c:v>
                </c:pt>
                <c:pt idx="7">
                  <c:v>AutoCAD Electrical</c:v>
                </c:pt>
                <c:pt idx="8">
                  <c:v>STAAD Pro</c:v>
                </c:pt>
                <c:pt idx="9">
                  <c:v>Renewable Energy</c:v>
                </c:pt>
                <c:pt idx="10">
                  <c:v>ANSYS</c:v>
                </c:pt>
                <c:pt idx="11">
                  <c:v>MATLAB</c:v>
                </c:pt>
                <c:pt idx="12">
                  <c:v>Business Analytics</c:v>
                </c:pt>
                <c:pt idx="13">
                  <c:v>Machine Learning</c:v>
                </c:pt>
                <c:pt idx="14">
                  <c:v>Digital Electronics</c:v>
                </c:pt>
                <c:pt idx="15">
                  <c:v>SCADA</c:v>
                </c:pt>
                <c:pt idx="16">
                  <c:v>PLC</c:v>
                </c:pt>
                <c:pt idx="17">
                  <c:v>Presentation Skills</c:v>
                </c:pt>
                <c:pt idx="18">
                  <c:v>Cloud Basics</c:v>
                </c:pt>
                <c:pt idx="19">
                  <c:v>Surveying</c:v>
                </c:pt>
                <c:pt idx="20">
                  <c:v>CATIA</c:v>
                </c:pt>
                <c:pt idx="21">
                  <c:v>Excel</c:v>
                </c:pt>
                <c:pt idx="22">
                  <c:v>Java</c:v>
                </c:pt>
                <c:pt idx="23">
                  <c:v>VLSI</c:v>
                </c:pt>
                <c:pt idx="24">
                  <c:v>Estimation</c:v>
                </c:pt>
                <c:pt idx="25">
                  <c:v>C</c:v>
                </c:pt>
                <c:pt idx="26">
                  <c:v>Revit</c:v>
                </c:pt>
                <c:pt idx="27">
                  <c:v>Power Systems</c:v>
                </c:pt>
                <c:pt idx="28">
                  <c:v>SQL</c:v>
                </c:pt>
                <c:pt idx="29">
                  <c:v>Python</c:v>
                </c:pt>
                <c:pt idx="30">
                  <c:v>Data Analytics</c:v>
                </c:pt>
                <c:pt idx="31">
                  <c:v>Testing</c:v>
                </c:pt>
                <c:pt idx="32">
                  <c:v>Power BI</c:v>
                </c:pt>
                <c:pt idx="33">
                  <c:v>IoT</c:v>
                </c:pt>
                <c:pt idx="34">
                  <c:v>Embedded Systems</c:v>
                </c:pt>
                <c:pt idx="35">
                  <c:v>SolidWorks</c:v>
                </c:pt>
                <c:pt idx="36">
                  <c:v>Finance</c:v>
                </c:pt>
              </c:strCache>
            </c:strRef>
          </c:cat>
          <c:val>
            <c:numRef>
              <c:f>Charts!$B$16:$B$52</c:f>
              <c:numCache>
                <c:formatCode>0.00</c:formatCode>
                <c:ptCount val="37"/>
                <c:pt idx="0">
                  <c:v>3.4000000000000004</c:v>
                </c:pt>
                <c:pt idx="1">
                  <c:v>3.75</c:v>
                </c:pt>
                <c:pt idx="2">
                  <c:v>4.0222222222222221</c:v>
                </c:pt>
                <c:pt idx="3">
                  <c:v>4.0666666666666664</c:v>
                </c:pt>
                <c:pt idx="4">
                  <c:v>4.5</c:v>
                </c:pt>
                <c:pt idx="5">
                  <c:v>4.8</c:v>
                </c:pt>
                <c:pt idx="6">
                  <c:v>4.9888888888888889</c:v>
                </c:pt>
                <c:pt idx="7">
                  <c:v>5.35</c:v>
                </c:pt>
                <c:pt idx="8">
                  <c:v>5.5333333333333341</c:v>
                </c:pt>
                <c:pt idx="9">
                  <c:v>5.5636363636363635</c:v>
                </c:pt>
                <c:pt idx="10">
                  <c:v>5.6352941176470583</c:v>
                </c:pt>
                <c:pt idx="11">
                  <c:v>5.8239999999999998</c:v>
                </c:pt>
                <c:pt idx="12">
                  <c:v>6.1</c:v>
                </c:pt>
                <c:pt idx="13">
                  <c:v>6.338461538461539</c:v>
                </c:pt>
                <c:pt idx="14">
                  <c:v>6.375</c:v>
                </c:pt>
                <c:pt idx="15">
                  <c:v>6.65</c:v>
                </c:pt>
                <c:pt idx="16">
                  <c:v>6.92</c:v>
                </c:pt>
                <c:pt idx="17">
                  <c:v>6.94</c:v>
                </c:pt>
                <c:pt idx="18">
                  <c:v>7.536363636363637</c:v>
                </c:pt>
                <c:pt idx="19">
                  <c:v>7.6499999999999986</c:v>
                </c:pt>
                <c:pt idx="20">
                  <c:v>7.7</c:v>
                </c:pt>
                <c:pt idx="21">
                  <c:v>7.7546875000000011</c:v>
                </c:pt>
                <c:pt idx="22">
                  <c:v>8.0000000000000018</c:v>
                </c:pt>
                <c:pt idx="23">
                  <c:v>8.09</c:v>
                </c:pt>
                <c:pt idx="24">
                  <c:v>8.1</c:v>
                </c:pt>
                <c:pt idx="25">
                  <c:v>8.1142857142857139</c:v>
                </c:pt>
                <c:pt idx="26">
                  <c:v>8.2714285714285705</c:v>
                </c:pt>
                <c:pt idx="27">
                  <c:v>8.5400000000000009</c:v>
                </c:pt>
                <c:pt idx="28">
                  <c:v>8.8394736842105264</c:v>
                </c:pt>
                <c:pt idx="29">
                  <c:v>9.6437499999999989</c:v>
                </c:pt>
                <c:pt idx="30">
                  <c:v>9.6444444444444457</c:v>
                </c:pt>
                <c:pt idx="31">
                  <c:v>10.49</c:v>
                </c:pt>
                <c:pt idx="32">
                  <c:v>10.595000000000002</c:v>
                </c:pt>
                <c:pt idx="33">
                  <c:v>11.2125</c:v>
                </c:pt>
                <c:pt idx="34">
                  <c:v>11.8</c:v>
                </c:pt>
                <c:pt idx="35">
                  <c:v>14.35</c:v>
                </c:pt>
                <c:pt idx="36">
                  <c:v>24.4</c:v>
                </c:pt>
              </c:numCache>
            </c:numRef>
          </c:val>
          <c:extLst>
            <c:ext xmlns:c16="http://schemas.microsoft.com/office/drawing/2014/chart" uri="{C3380CC4-5D6E-409C-BE32-E72D297353CC}">
              <c16:uniqueId val="{00000000-D716-4D9C-885F-6065FA6D35CC}"/>
            </c:ext>
          </c:extLst>
        </c:ser>
        <c:dLbls>
          <c:dLblPos val="outEnd"/>
          <c:showLegendKey val="0"/>
          <c:showVal val="1"/>
          <c:showCatName val="0"/>
          <c:showSerName val="0"/>
          <c:showPercent val="0"/>
          <c:showBubbleSize val="0"/>
        </c:dLbls>
        <c:gapWidth val="182"/>
        <c:axId val="361147840"/>
        <c:axId val="361150000"/>
      </c:barChart>
      <c:catAx>
        <c:axId val="361147840"/>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Skill</a:t>
                </a:r>
              </a:p>
            </c:rich>
          </c:tx>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50000"/>
        <c:crosses val="autoZero"/>
        <c:auto val="1"/>
        <c:lblAlgn val="ctr"/>
        <c:lblOffset val="100"/>
        <c:noMultiLvlLbl val="0"/>
      </c:catAx>
      <c:valAx>
        <c:axId val="361150000"/>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IN" sz="1400" b="1" i="1" u="sng"/>
              </a:p>
              <a:p>
                <a:pPr>
                  <a:defRPr sz="1400" b="1" i="1" u="sng"/>
                </a:pPr>
                <a:r>
                  <a:rPr lang="en-IN" sz="1400" b="1" i="1" u="sng"/>
                  <a:t>Average</a:t>
                </a:r>
                <a:r>
                  <a:rPr lang="en-IN" sz="1400" b="1" i="1" u="sng" baseline="0"/>
                  <a:t> Package_LPA</a:t>
                </a:r>
              </a:p>
            </c:rich>
          </c:tx>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14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[College_Placement_Analytics_Realistic_500Rows.xlsx]Charts!PivotTable3</c:name>
    <c:fmtId val="11"/>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Placed vs Not Placed</a:t>
            </a:r>
          </a:p>
        </c:rich>
      </c:tx>
      <c:layout>
        <c:manualLayout>
          <c:xMode val="edge"/>
          <c:yMode val="edge"/>
          <c:x val="0.57131662601818523"/>
          <c:y val="0.14270700462713684"/>
        </c:manualLayout>
      </c:layout>
      <c:overlay val="0"/>
      <c:spPr>
        <a:solidFill>
          <a:srgbClr val="CC99FF"/>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7030A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7030A0"/>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7030A0"/>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Charts!$B$55</c:f>
              <c:strCache>
                <c:ptCount val="1"/>
                <c:pt idx="0">
                  <c:v>Total</c:v>
                </c:pt>
              </c:strCache>
            </c:strRef>
          </c:tx>
          <c:dPt>
            <c:idx val="0"/>
            <c:bubble3D val="0"/>
            <c:spPr>
              <a:solidFill>
                <a:srgbClr val="7030A0"/>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Charts!$A$56:$A$58</c:f>
              <c:strCache>
                <c:ptCount val="2"/>
                <c:pt idx="0">
                  <c:v>Not Placed</c:v>
                </c:pt>
                <c:pt idx="1">
                  <c:v>Placed</c:v>
                </c:pt>
              </c:strCache>
            </c:strRef>
          </c:cat>
          <c:val>
            <c:numRef>
              <c:f>Charts!$B$56:$B$58</c:f>
              <c:numCache>
                <c:formatCode>General</c:formatCode>
                <c:ptCount val="2"/>
                <c:pt idx="0">
                  <c:v>175</c:v>
                </c:pt>
                <c:pt idx="1">
                  <c:v>325</c:v>
                </c:pt>
              </c:numCache>
            </c:numRef>
          </c:val>
          <c:extLst>
            <c:ext xmlns:c16="http://schemas.microsoft.com/office/drawing/2014/chart" uri="{C3380CC4-5D6E-409C-BE32-E72D297353CC}">
              <c16:uniqueId val="{00000005-FDE3-4455-9619-B104F1DE7B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675136744648604"/>
          <c:y val="0.74201948465155376"/>
          <c:w val="0.26940027704110625"/>
          <c:h val="0.181644946870519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Internship</a:t>
            </a:r>
            <a:r>
              <a:rPr lang="en-US" baseline="0">
                <a:solidFill>
                  <a:srgbClr val="FF0000"/>
                </a:solidFill>
              </a:rPr>
              <a:t> Impact</a:t>
            </a:r>
          </a:p>
        </c:rich>
      </c:tx>
      <c:overlay val="0"/>
      <c:spPr>
        <a:solidFill>
          <a:srgbClr val="FCCDB6"/>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barChart>
        <c:barDir val="col"/>
        <c:grouping val="clustered"/>
        <c:varyColors val="0"/>
        <c:ser>
          <c:idx val="0"/>
          <c:order val="0"/>
          <c:tx>
            <c:strRef>
              <c:f>Charts!$B$69</c:f>
              <c:strCache>
                <c:ptCount val="1"/>
                <c:pt idx="0">
                  <c:v>Placement%</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D839-4599-8751-EC570A2A7CED}"/>
              </c:ext>
            </c:extLst>
          </c:dPt>
          <c:dPt>
            <c:idx val="1"/>
            <c:invertIfNegative val="0"/>
            <c:bubble3D val="0"/>
            <c:spPr>
              <a:solidFill>
                <a:srgbClr val="00B050"/>
              </a:solidFill>
              <a:ln>
                <a:noFill/>
              </a:ln>
              <a:effectLst/>
            </c:spPr>
            <c:extLst>
              <c:ext xmlns:c16="http://schemas.microsoft.com/office/drawing/2014/chart" uri="{C3380CC4-5D6E-409C-BE32-E72D297353CC}">
                <c16:uniqueId val="{00000003-D839-4599-8751-EC570A2A7C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Charts!$A$70:$A$71</c:f>
              <c:strCache>
                <c:ptCount val="2"/>
                <c:pt idx="0">
                  <c:v>No</c:v>
                </c:pt>
                <c:pt idx="1">
                  <c:v>Yes</c:v>
                </c:pt>
              </c:strCache>
            </c:strRef>
          </c:cat>
          <c:val>
            <c:numRef>
              <c:f>Charts!$B$70:$B$71</c:f>
              <c:numCache>
                <c:formatCode>0%</c:formatCode>
                <c:ptCount val="2"/>
                <c:pt idx="0">
                  <c:v>0.55769230769230771</c:v>
                </c:pt>
                <c:pt idx="1">
                  <c:v>0.71575342465753422</c:v>
                </c:pt>
              </c:numCache>
            </c:numRef>
          </c:val>
          <c:extLst>
            <c:ext xmlns:c16="http://schemas.microsoft.com/office/drawing/2014/chart" uri="{C3380CC4-5D6E-409C-BE32-E72D297353CC}">
              <c16:uniqueId val="{00000004-D839-4599-8751-EC570A2A7CED}"/>
            </c:ext>
          </c:extLst>
        </c:ser>
        <c:dLbls>
          <c:dLblPos val="outEnd"/>
          <c:showLegendKey val="0"/>
          <c:showVal val="1"/>
          <c:showCatName val="0"/>
          <c:showSerName val="0"/>
          <c:showPercent val="0"/>
          <c:showBubbleSize val="0"/>
        </c:dLbls>
        <c:gapWidth val="219"/>
        <c:overlap val="-27"/>
        <c:axId val="546322104"/>
        <c:axId val="546319224"/>
      </c:barChart>
      <c:catAx>
        <c:axId val="546322104"/>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Placement</a:t>
                </a:r>
                <a:r>
                  <a:rPr lang="en-IN" sz="1400" b="1" i="1" u="sng" baseline="0"/>
                  <a:t> Percentage</a:t>
                </a:r>
                <a:endParaRPr lang="en-IN" sz="1400" b="1" i="1" u="sng"/>
              </a:p>
            </c:rich>
          </c:tx>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19224"/>
        <c:crosses val="autoZero"/>
        <c:auto val="1"/>
        <c:lblAlgn val="ctr"/>
        <c:lblOffset val="100"/>
        <c:noMultiLvlLbl val="0"/>
      </c:catAx>
      <c:valAx>
        <c:axId val="546319224"/>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Internship Status</a:t>
                </a:r>
              </a:p>
            </c:rich>
          </c:tx>
          <c:layout>
            <c:manualLayout>
              <c:xMode val="edge"/>
              <c:yMode val="edge"/>
              <c:x val="1.0802758973605203E-2"/>
              <c:y val="0.24510535544402895"/>
            </c:manualLayout>
          </c:layout>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22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rgbClr val="FF0000"/>
                </a:solidFill>
                <a:latin typeface="+mn-lt"/>
                <a:ea typeface="+mn-ea"/>
                <a:cs typeface="+mn-cs"/>
              </a:defRPr>
            </a:pPr>
            <a:r>
              <a:rPr lang="en-US">
                <a:solidFill>
                  <a:srgbClr val="FF0000"/>
                </a:solidFill>
              </a:rPr>
              <a:t>Industry-wise Hiring</a:t>
            </a:r>
          </a:p>
        </c:rich>
      </c:tx>
      <c:overlay val="0"/>
      <c:spPr>
        <a:solidFill>
          <a:srgbClr val="B7F182"/>
        </a:solidFill>
        <a:ln>
          <a:noFill/>
        </a:ln>
        <a:effectLst/>
      </c:spPr>
      <c:txPr>
        <a:bodyPr rot="0" spcFirstLastPara="1" vertOverflow="ellipsis" vert="horz" wrap="square" anchor="ctr" anchorCtr="1"/>
        <a:lstStyle/>
        <a:p>
          <a:pPr>
            <a:defRPr sz="1600" b="1" i="0" u="none" strike="noStrike" kern="1200" cap="all" spc="120" normalizeH="0" baseline="0">
              <a:solidFill>
                <a:srgbClr val="FF0000"/>
              </a:solidFill>
              <a:latin typeface="+mn-lt"/>
              <a:ea typeface="+mn-ea"/>
              <a:cs typeface="+mn-cs"/>
            </a:defRPr>
          </a:pPr>
          <a:endParaRPr lang="en-US"/>
        </a:p>
      </c:txPr>
    </c:title>
    <c:autoTitleDeleted val="0"/>
    <c:plotArea>
      <c:layout/>
      <c:barChart>
        <c:barDir val="col"/>
        <c:grouping val="stacked"/>
        <c:varyColors val="0"/>
        <c:ser>
          <c:idx val="0"/>
          <c:order val="0"/>
          <c:tx>
            <c:strRef>
              <c:f>Charts!$B$138</c:f>
              <c:strCache>
                <c:ptCount val="1"/>
                <c:pt idx="0">
                  <c:v>Count Student_ID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Charts!$A$139:$A$145</c:f>
              <c:strCache>
                <c:ptCount val="7"/>
                <c:pt idx="0">
                  <c:v>Business</c:v>
                </c:pt>
                <c:pt idx="1">
                  <c:v>Civil</c:v>
                </c:pt>
                <c:pt idx="2">
                  <c:v>Core/Consulting</c:v>
                </c:pt>
                <c:pt idx="3">
                  <c:v>Electrical</c:v>
                </c:pt>
                <c:pt idx="4">
                  <c:v>Electronics</c:v>
                </c:pt>
                <c:pt idx="5">
                  <c:v>IT</c:v>
                </c:pt>
                <c:pt idx="6">
                  <c:v>Mechanical</c:v>
                </c:pt>
              </c:strCache>
            </c:strRef>
          </c:cat>
          <c:val>
            <c:numRef>
              <c:f>Charts!$B$139:$B$145</c:f>
              <c:numCache>
                <c:formatCode>General</c:formatCode>
                <c:ptCount val="7"/>
                <c:pt idx="0">
                  <c:v>7</c:v>
                </c:pt>
                <c:pt idx="1">
                  <c:v>20</c:v>
                </c:pt>
                <c:pt idx="2">
                  <c:v>14</c:v>
                </c:pt>
                <c:pt idx="3">
                  <c:v>33</c:v>
                </c:pt>
                <c:pt idx="4">
                  <c:v>35</c:v>
                </c:pt>
                <c:pt idx="5">
                  <c:v>192</c:v>
                </c:pt>
                <c:pt idx="6">
                  <c:v>24</c:v>
                </c:pt>
              </c:numCache>
            </c:numRef>
          </c:val>
          <c:extLst>
            <c:ext xmlns:c16="http://schemas.microsoft.com/office/drawing/2014/chart" uri="{C3380CC4-5D6E-409C-BE32-E72D297353CC}">
              <c16:uniqueId val="{00000000-509D-4EAC-829B-26477091AB52}"/>
            </c:ext>
          </c:extLst>
        </c:ser>
        <c:dLbls>
          <c:dLblPos val="ctr"/>
          <c:showLegendKey val="0"/>
          <c:showVal val="1"/>
          <c:showCatName val="0"/>
          <c:showSerName val="0"/>
          <c:showPercent val="0"/>
          <c:showBubbleSize val="0"/>
        </c:dLbls>
        <c:gapWidth val="79"/>
        <c:overlap val="100"/>
        <c:axId val="570782784"/>
        <c:axId val="570775584"/>
      </c:barChart>
      <c:catAx>
        <c:axId val="570782784"/>
        <c:scaling>
          <c:orientation val="minMax"/>
        </c:scaling>
        <c:delete val="0"/>
        <c:axPos val="b"/>
        <c:title>
          <c:tx>
            <c:rich>
              <a:bodyPr rot="0" spcFirstLastPara="1" vertOverflow="ellipsis" vert="horz" wrap="square" anchor="ctr" anchorCtr="1"/>
              <a:lstStyle/>
              <a:p>
                <a:pPr>
                  <a:defRPr sz="1400" b="1" i="1" u="sng" strike="noStrike" kern="1200" cap="all" baseline="0">
                    <a:solidFill>
                      <a:schemeClr val="tx1">
                        <a:lumMod val="65000"/>
                        <a:lumOff val="35000"/>
                      </a:schemeClr>
                    </a:solidFill>
                    <a:latin typeface="+mn-lt"/>
                    <a:ea typeface="+mn-ea"/>
                    <a:cs typeface="+mn-cs"/>
                  </a:defRPr>
                </a:pPr>
                <a:r>
                  <a:rPr lang="en-IN" sz="1400" b="1" i="1" u="sng"/>
                  <a:t>Industry</a:t>
                </a:r>
              </a:p>
            </c:rich>
          </c:tx>
          <c:overlay val="0"/>
          <c:spPr>
            <a:noFill/>
            <a:ln>
              <a:noFill/>
            </a:ln>
            <a:effectLst/>
          </c:spPr>
          <c:txPr>
            <a:bodyPr rot="0" spcFirstLastPara="1" vertOverflow="ellipsis" vert="horz" wrap="square" anchor="ctr" anchorCtr="1"/>
            <a:lstStyle/>
            <a:p>
              <a:pPr>
                <a:defRPr sz="1400" b="1" i="1" u="sng"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0775584"/>
        <c:crosses val="autoZero"/>
        <c:auto val="1"/>
        <c:lblAlgn val="ctr"/>
        <c:lblOffset val="100"/>
        <c:noMultiLvlLbl val="0"/>
      </c:catAx>
      <c:valAx>
        <c:axId val="570775584"/>
        <c:scaling>
          <c:orientation val="minMax"/>
        </c:scaling>
        <c:delete val="1"/>
        <c:axPos val="l"/>
        <c:title>
          <c:tx>
            <c:rich>
              <a:bodyPr rot="-5400000" spcFirstLastPara="1" vertOverflow="ellipsis" vert="horz" wrap="square" anchor="ctr" anchorCtr="1"/>
              <a:lstStyle/>
              <a:p>
                <a:pPr>
                  <a:defRPr sz="1400" b="1" i="1" u="sng" strike="noStrike" kern="1200" cap="all" baseline="0">
                    <a:solidFill>
                      <a:schemeClr val="tx1">
                        <a:lumMod val="65000"/>
                        <a:lumOff val="35000"/>
                      </a:schemeClr>
                    </a:solidFill>
                    <a:latin typeface="+mn-lt"/>
                    <a:ea typeface="+mn-ea"/>
                    <a:cs typeface="+mn-cs"/>
                  </a:defRPr>
                </a:pPr>
                <a:r>
                  <a:rPr lang="en-IN" sz="1400" b="1" i="1" u="sng"/>
                  <a:t>Student Count</a:t>
                </a:r>
              </a:p>
            </c:rich>
          </c:tx>
          <c:overlay val="0"/>
          <c:spPr>
            <a:noFill/>
            <a:ln>
              <a:noFill/>
            </a:ln>
            <a:effectLst/>
          </c:spPr>
          <c:txPr>
            <a:bodyPr rot="-5400000" spcFirstLastPara="1" vertOverflow="ellipsis" vert="horz" wrap="square" anchor="ctr" anchorCtr="1"/>
            <a:lstStyle/>
            <a:p>
              <a:pPr>
                <a:defRPr sz="1400" b="1" i="1" u="sng"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7078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r>
              <a:rPr lang="en-US" sz="1600">
                <a:solidFill>
                  <a:srgbClr val="FF0000"/>
                </a:solidFill>
              </a:rPr>
              <a:t>Top Recruiters</a:t>
            </a:r>
          </a:p>
        </c:rich>
      </c:tx>
      <c:overlay val="0"/>
      <c:spPr>
        <a:solidFill>
          <a:srgbClr val="F88C56"/>
        </a:solidFill>
        <a:ln>
          <a:noFill/>
        </a:ln>
        <a:effectLst/>
      </c:spPr>
      <c:txPr>
        <a:bodyPr rot="0" spcFirstLastPara="1" vertOverflow="ellipsis" vert="horz" wrap="square" anchor="ctr" anchorCtr="1"/>
        <a:lstStyle/>
        <a:p>
          <a:pPr>
            <a:defRPr sz="1600" b="0" i="0" u="none" strike="noStrike" kern="1200" spc="0" baseline="0">
              <a:solidFill>
                <a:srgbClr val="FF0000"/>
              </a:solidFill>
              <a:latin typeface="+mn-lt"/>
              <a:ea typeface="+mn-ea"/>
              <a:cs typeface="+mn-cs"/>
            </a:defRPr>
          </a:pPr>
          <a:endParaRPr lang="en-US"/>
        </a:p>
      </c:txPr>
    </c:title>
    <c:autoTitleDeleted val="0"/>
    <c:plotArea>
      <c:layout/>
      <c:barChart>
        <c:barDir val="bar"/>
        <c:grouping val="clustered"/>
        <c:varyColors val="0"/>
        <c:ser>
          <c:idx val="0"/>
          <c:order val="0"/>
          <c:tx>
            <c:strRef>
              <c:f>Charts!$B$88</c:f>
              <c:strCache>
                <c:ptCount val="1"/>
                <c:pt idx="0">
                  <c:v>Count Student_ID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Charts!$A$89:$A$133</c:f>
              <c:strCache>
                <c:ptCount val="44"/>
                <c:pt idx="0">
                  <c:v>IBM</c:v>
                </c:pt>
                <c:pt idx="1">
                  <c:v>Capgemini</c:v>
                </c:pt>
                <c:pt idx="2">
                  <c:v>Infosys</c:v>
                </c:pt>
                <c:pt idx="3">
                  <c:v>Deloitte</c:v>
                </c:pt>
                <c:pt idx="4">
                  <c:v>Accenture</c:v>
                </c:pt>
                <c:pt idx="5">
                  <c:v>Cognizant</c:v>
                </c:pt>
                <c:pt idx="6">
                  <c:v>TCS</c:v>
                </c:pt>
                <c:pt idx="7">
                  <c:v>HCL</c:v>
                </c:pt>
                <c:pt idx="8">
                  <c:v>Wipro</c:v>
                </c:pt>
                <c:pt idx="9">
                  <c:v>Bosch</c:v>
                </c:pt>
                <c:pt idx="10">
                  <c:v>Schneider Electric</c:v>
                </c:pt>
                <c:pt idx="11">
                  <c:v>L&amp;T</c:v>
                </c:pt>
                <c:pt idx="12">
                  <c:v>NXP</c:v>
                </c:pt>
                <c:pt idx="13">
                  <c:v>Texas Instruments</c:v>
                </c:pt>
                <c:pt idx="14">
                  <c:v>CG Power</c:v>
                </c:pt>
                <c:pt idx="15">
                  <c:v>Qualcomm</c:v>
                </c:pt>
                <c:pt idx="16">
                  <c:v>Tata Motors</c:v>
                </c:pt>
                <c:pt idx="17">
                  <c:v>Tata Power</c:v>
                </c:pt>
                <c:pt idx="18">
                  <c:v>Afcons</c:v>
                </c:pt>
                <c:pt idx="19">
                  <c:v>Ashok Leyland</c:v>
                </c:pt>
                <c:pt idx="20">
                  <c:v>Honeywell</c:v>
                </c:pt>
                <c:pt idx="21">
                  <c:v>L&amp;T Construction</c:v>
                </c:pt>
                <c:pt idx="22">
                  <c:v>Maruti Suzuki</c:v>
                </c:pt>
                <c:pt idx="23">
                  <c:v>Siemens</c:v>
                </c:pt>
                <c:pt idx="24">
                  <c:v>Bajaj Auto</c:v>
                </c:pt>
                <c:pt idx="25">
                  <c:v>Eaton</c:v>
                </c:pt>
                <c:pt idx="26">
                  <c:v>Hero MotoCorp</c:v>
                </c:pt>
                <c:pt idx="27">
                  <c:v>KPMG</c:v>
                </c:pt>
                <c:pt idx="28">
                  <c:v>NCC</c:v>
                </c:pt>
                <c:pt idx="29">
                  <c:v>Samsung</c:v>
                </c:pt>
                <c:pt idx="30">
                  <c:v>Sony</c:v>
                </c:pt>
                <c:pt idx="31">
                  <c:v>Tata Projects</c:v>
                </c:pt>
                <c:pt idx="32">
                  <c:v>ABB</c:v>
                </c:pt>
                <c:pt idx="33">
                  <c:v>DLF</c:v>
                </c:pt>
                <c:pt idx="34">
                  <c:v>Intel</c:v>
                </c:pt>
                <c:pt idx="35">
                  <c:v>IRCON</c:v>
                </c:pt>
                <c:pt idx="36">
                  <c:v>JCB</c:v>
                </c:pt>
                <c:pt idx="37">
                  <c:v>Thermax</c:v>
                </c:pt>
                <c:pt idx="38">
                  <c:v>Analog Devices</c:v>
                </c:pt>
                <c:pt idx="39">
                  <c:v>EY</c:v>
                </c:pt>
                <c:pt idx="40">
                  <c:v>Godrej</c:v>
                </c:pt>
                <c:pt idx="41">
                  <c:v>L&amp;T Electrical</c:v>
                </c:pt>
                <c:pt idx="42">
                  <c:v>Punj Lloyd</c:v>
                </c:pt>
                <c:pt idx="43">
                  <c:v>Shapoorji Pallonji</c:v>
                </c:pt>
              </c:strCache>
            </c:strRef>
          </c:cat>
          <c:val>
            <c:numRef>
              <c:f>Charts!$B$89:$B$133</c:f>
              <c:numCache>
                <c:formatCode>General</c:formatCode>
                <c:ptCount val="44"/>
                <c:pt idx="0">
                  <c:v>26</c:v>
                </c:pt>
                <c:pt idx="1">
                  <c:v>25</c:v>
                </c:pt>
                <c:pt idx="2">
                  <c:v>25</c:v>
                </c:pt>
                <c:pt idx="3">
                  <c:v>23</c:v>
                </c:pt>
                <c:pt idx="4">
                  <c:v>22</c:v>
                </c:pt>
                <c:pt idx="5">
                  <c:v>22</c:v>
                </c:pt>
                <c:pt idx="6">
                  <c:v>20</c:v>
                </c:pt>
                <c:pt idx="7">
                  <c:v>19</c:v>
                </c:pt>
                <c:pt idx="8">
                  <c:v>16</c:v>
                </c:pt>
                <c:pt idx="9">
                  <c:v>10</c:v>
                </c:pt>
                <c:pt idx="10">
                  <c:v>8</c:v>
                </c:pt>
                <c:pt idx="11">
                  <c:v>7</c:v>
                </c:pt>
                <c:pt idx="12">
                  <c:v>7</c:v>
                </c:pt>
                <c:pt idx="13">
                  <c:v>7</c:v>
                </c:pt>
                <c:pt idx="14">
                  <c:v>6</c:v>
                </c:pt>
                <c:pt idx="15">
                  <c:v>6</c:v>
                </c:pt>
                <c:pt idx="16">
                  <c:v>5</c:v>
                </c:pt>
                <c:pt idx="17">
                  <c:v>5</c:v>
                </c:pt>
                <c:pt idx="18">
                  <c:v>4</c:v>
                </c:pt>
                <c:pt idx="19">
                  <c:v>4</c:v>
                </c:pt>
                <c:pt idx="20">
                  <c:v>4</c:v>
                </c:pt>
                <c:pt idx="21">
                  <c:v>4</c:v>
                </c:pt>
                <c:pt idx="22">
                  <c:v>4</c:v>
                </c:pt>
                <c:pt idx="23">
                  <c:v>4</c:v>
                </c:pt>
                <c:pt idx="24">
                  <c:v>3</c:v>
                </c:pt>
                <c:pt idx="25">
                  <c:v>3</c:v>
                </c:pt>
                <c:pt idx="26">
                  <c:v>3</c:v>
                </c:pt>
                <c:pt idx="27">
                  <c:v>3</c:v>
                </c:pt>
                <c:pt idx="28">
                  <c:v>3</c:v>
                </c:pt>
                <c:pt idx="29">
                  <c:v>3</c:v>
                </c:pt>
                <c:pt idx="30">
                  <c:v>3</c:v>
                </c:pt>
                <c:pt idx="31">
                  <c:v>3</c:v>
                </c:pt>
                <c:pt idx="32">
                  <c:v>2</c:v>
                </c:pt>
                <c:pt idx="33">
                  <c:v>2</c:v>
                </c:pt>
                <c:pt idx="34">
                  <c:v>2</c:v>
                </c:pt>
                <c:pt idx="35">
                  <c:v>2</c:v>
                </c:pt>
                <c:pt idx="36">
                  <c:v>2</c:v>
                </c:pt>
                <c:pt idx="37">
                  <c:v>2</c:v>
                </c:pt>
                <c:pt idx="38">
                  <c:v>1</c:v>
                </c:pt>
                <c:pt idx="39">
                  <c:v>1</c:v>
                </c:pt>
                <c:pt idx="40">
                  <c:v>1</c:v>
                </c:pt>
                <c:pt idx="41">
                  <c:v>1</c:v>
                </c:pt>
                <c:pt idx="42">
                  <c:v>1</c:v>
                </c:pt>
                <c:pt idx="43">
                  <c:v>1</c:v>
                </c:pt>
              </c:numCache>
            </c:numRef>
          </c:val>
          <c:extLst>
            <c:ext xmlns:c16="http://schemas.microsoft.com/office/drawing/2014/chart" uri="{C3380CC4-5D6E-409C-BE32-E72D297353CC}">
              <c16:uniqueId val="{00000000-59D9-4344-95A7-CBEF114D3F33}"/>
            </c:ext>
          </c:extLst>
        </c:ser>
        <c:dLbls>
          <c:dLblPos val="outEnd"/>
          <c:showLegendKey val="0"/>
          <c:showVal val="1"/>
          <c:showCatName val="0"/>
          <c:showSerName val="0"/>
          <c:showPercent val="0"/>
          <c:showBubbleSize val="0"/>
        </c:dLbls>
        <c:gapWidth val="182"/>
        <c:axId val="843089264"/>
        <c:axId val="843084944"/>
      </c:barChart>
      <c:catAx>
        <c:axId val="843089264"/>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Companies</a:t>
                </a:r>
              </a:p>
            </c:rich>
          </c:tx>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084944"/>
        <c:crosses val="autoZero"/>
        <c:auto val="1"/>
        <c:lblAlgn val="ctr"/>
        <c:lblOffset val="100"/>
        <c:noMultiLvlLbl val="0"/>
      </c:catAx>
      <c:valAx>
        <c:axId val="843084944"/>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Student Count</a:t>
                </a:r>
              </a:p>
            </c:rich>
          </c:tx>
          <c:layout>
            <c:manualLayout>
              <c:xMode val="edge"/>
              <c:yMode val="edge"/>
              <c:x val="0.44770734908136484"/>
              <c:y val="0.95414570781264496"/>
            </c:manualLayout>
          </c:layout>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08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sz="1400" b="0" i="0" u="none" strike="noStrike" kern="1200" spc="0" baseline="0">
                <a:solidFill>
                  <a:srgbClr val="FF0000"/>
                </a:solidFill>
              </a:rPr>
              <a:t>CGPA Impact on Placement</a:t>
            </a:r>
          </a:p>
        </c:rich>
      </c:tx>
      <c:overlay val="0"/>
      <c:spPr>
        <a:solidFill>
          <a:srgbClr val="7030A0"/>
        </a:solid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lotArea>
      <c:layout/>
      <c:lineChart>
        <c:grouping val="standard"/>
        <c:varyColors val="0"/>
        <c:ser>
          <c:idx val="0"/>
          <c:order val="0"/>
          <c:tx>
            <c:strRef>
              <c:f>Charts!$B$158</c:f>
              <c:strCache>
                <c:ptCount val="1"/>
                <c:pt idx="0">
                  <c:v>Placement%</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Charts!$A$159:$A$162</c:f>
              <c:strCache>
                <c:ptCount val="4"/>
                <c:pt idx="0">
                  <c:v>Below 7</c:v>
                </c:pt>
                <c:pt idx="1">
                  <c:v>7-8</c:v>
                </c:pt>
                <c:pt idx="2">
                  <c:v>8-9</c:v>
                </c:pt>
                <c:pt idx="3">
                  <c:v>9+</c:v>
                </c:pt>
              </c:strCache>
            </c:strRef>
          </c:cat>
          <c:val>
            <c:numRef>
              <c:f>Charts!$B$159:$B$162</c:f>
              <c:numCache>
                <c:formatCode>0%</c:formatCode>
                <c:ptCount val="4"/>
                <c:pt idx="0">
                  <c:v>0.54</c:v>
                </c:pt>
                <c:pt idx="1">
                  <c:v>0.64761904761904765</c:v>
                </c:pt>
                <c:pt idx="2">
                  <c:v>0.7678571428571429</c:v>
                </c:pt>
                <c:pt idx="3">
                  <c:v>0.72448979591836737</c:v>
                </c:pt>
              </c:numCache>
            </c:numRef>
          </c:val>
          <c:smooth val="0"/>
          <c:extLst>
            <c:ext xmlns:c16="http://schemas.microsoft.com/office/drawing/2014/chart" uri="{C3380CC4-5D6E-409C-BE32-E72D297353CC}">
              <c16:uniqueId val="{00000000-C53A-4450-A171-17400D605580}"/>
            </c:ext>
          </c:extLst>
        </c:ser>
        <c:dLbls>
          <c:dLblPos val="t"/>
          <c:showLegendKey val="0"/>
          <c:showVal val="1"/>
          <c:showCatName val="0"/>
          <c:showSerName val="0"/>
          <c:showPercent val="0"/>
          <c:showBubbleSize val="0"/>
        </c:dLbls>
        <c:smooth val="0"/>
        <c:axId val="400661128"/>
        <c:axId val="540843408"/>
      </c:lineChart>
      <c:catAx>
        <c:axId val="400661128"/>
        <c:scaling>
          <c:orientation val="minMax"/>
        </c:scaling>
        <c:delete val="0"/>
        <c:axPos val="b"/>
        <c:title>
          <c:tx>
            <c:rich>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CGPA</a:t>
                </a:r>
                <a:r>
                  <a:rPr lang="en-IN" sz="1400" b="1" i="1" u="sng" baseline="0"/>
                  <a:t> Group</a:t>
                </a:r>
                <a:endParaRPr lang="en-IN" sz="1400" b="1" i="1" u="sng"/>
              </a:p>
            </c:rich>
          </c:tx>
          <c:layout>
            <c:manualLayout>
              <c:xMode val="edge"/>
              <c:yMode val="edge"/>
              <c:x val="0.46562324214803369"/>
              <c:y val="0.86142957690554589"/>
            </c:manualLayout>
          </c:layout>
          <c:overlay val="0"/>
          <c:spPr>
            <a:noFill/>
            <a:ln>
              <a:noFill/>
            </a:ln>
            <a:effectLst/>
          </c:spPr>
          <c:txPr>
            <a:bodyPr rot="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43408"/>
        <c:crosses val="autoZero"/>
        <c:auto val="1"/>
        <c:lblAlgn val="ctr"/>
        <c:lblOffset val="100"/>
        <c:noMultiLvlLbl val="0"/>
      </c:catAx>
      <c:valAx>
        <c:axId val="540843408"/>
        <c:scaling>
          <c:orientation val="minMax"/>
        </c:scaling>
        <c:delete val="0"/>
        <c:axPos val="l"/>
        <c:title>
          <c:tx>
            <c:rich>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r>
                  <a:rPr lang="en-IN" sz="1400" b="1" i="1" u="sng"/>
                  <a:t>Percentage of Placement</a:t>
                </a:r>
              </a:p>
            </c:rich>
          </c:tx>
          <c:layout>
            <c:manualLayout>
              <c:xMode val="edge"/>
              <c:yMode val="edge"/>
              <c:x val="1.0837242705085005E-2"/>
              <c:y val="0.14778082010970528"/>
            </c:manualLayout>
          </c:layout>
          <c:overlay val="0"/>
          <c:spPr>
            <a:noFill/>
            <a:ln>
              <a:noFill/>
            </a:ln>
            <a:effectLst/>
          </c:spPr>
          <c:txPr>
            <a:bodyPr rot="-5400000" spcFirstLastPara="1" vertOverflow="ellipsis" vert="horz" wrap="square" anchor="ctr" anchorCtr="1"/>
            <a:lstStyle/>
            <a:p>
              <a:pPr>
                <a:defRPr sz="1400" b="1" i="1" u="sng"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61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401782</xdr:colOff>
      <xdr:row>0</xdr:row>
      <xdr:rowOff>0</xdr:rowOff>
    </xdr:from>
    <xdr:to>
      <xdr:col>7</xdr:col>
      <xdr:colOff>600363</xdr:colOff>
      <xdr:row>13</xdr:row>
      <xdr:rowOff>3810</xdr:rowOff>
    </xdr:to>
    <xdr:graphicFrame macro="">
      <xdr:nvGraphicFramePr>
        <xdr:cNvPr id="8" name="Chart 7">
          <a:extLst>
            <a:ext uri="{FF2B5EF4-FFF2-40B4-BE49-F238E27FC236}">
              <a16:creationId xmlns:a16="http://schemas.microsoft.com/office/drawing/2014/main" id="{96CBD433-8DAD-2349-A324-B27774EEA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392083</xdr:colOff>
      <xdr:row>14</xdr:row>
      <xdr:rowOff>0</xdr:rowOff>
    </xdr:from>
    <xdr:to>
      <xdr:col>7</xdr:col>
      <xdr:colOff>554181</xdr:colOff>
      <xdr:row>52</xdr:row>
      <xdr:rowOff>-1</xdr:rowOff>
    </xdr:to>
    <xdr:graphicFrame macro="">
      <xdr:nvGraphicFramePr>
        <xdr:cNvPr id="9" name="Chart 8">
          <a:extLst>
            <a:ext uri="{FF2B5EF4-FFF2-40B4-BE49-F238E27FC236}">
              <a16:creationId xmlns:a16="http://schemas.microsoft.com/office/drawing/2014/main" id="{6CFA36A7-A7E9-967B-258B-782237DB9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387927</xdr:colOff>
      <xdr:row>53</xdr:row>
      <xdr:rowOff>100917</xdr:rowOff>
    </xdr:from>
    <xdr:to>
      <xdr:col>7</xdr:col>
      <xdr:colOff>568037</xdr:colOff>
      <xdr:row>67</xdr:row>
      <xdr:rowOff>150519</xdr:rowOff>
    </xdr:to>
    <xdr:graphicFrame macro="">
      <xdr:nvGraphicFramePr>
        <xdr:cNvPr id="11" name="Chart 10">
          <a:extLst>
            <a:ext uri="{FF2B5EF4-FFF2-40B4-BE49-F238E27FC236}">
              <a16:creationId xmlns:a16="http://schemas.microsoft.com/office/drawing/2014/main" id="{B994AD19-40CE-A64F-EFC4-D750E5E8D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385704</xdr:colOff>
      <xdr:row>69</xdr:row>
      <xdr:rowOff>6585</xdr:rowOff>
    </xdr:from>
    <xdr:to>
      <xdr:col>7</xdr:col>
      <xdr:colOff>545630</xdr:colOff>
      <xdr:row>84</xdr:row>
      <xdr:rowOff>68674</xdr:rowOff>
    </xdr:to>
    <xdr:graphicFrame macro="">
      <xdr:nvGraphicFramePr>
        <xdr:cNvPr id="12" name="Chart 11">
          <a:extLst>
            <a:ext uri="{FF2B5EF4-FFF2-40B4-BE49-F238E27FC236}">
              <a16:creationId xmlns:a16="http://schemas.microsoft.com/office/drawing/2014/main" id="{ED704CDA-7AEF-4E2A-D209-CCB4996F9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479778</xdr:colOff>
      <xdr:row>135</xdr:row>
      <xdr:rowOff>6585</xdr:rowOff>
    </xdr:from>
    <xdr:to>
      <xdr:col>9</xdr:col>
      <xdr:colOff>281748</xdr:colOff>
      <xdr:row>156</xdr:row>
      <xdr:rowOff>34636</xdr:rowOff>
    </xdr:to>
    <xdr:graphicFrame macro="">
      <xdr:nvGraphicFramePr>
        <xdr:cNvPr id="14" name="Chart 13">
          <a:extLst>
            <a:ext uri="{FF2B5EF4-FFF2-40B4-BE49-F238E27FC236}">
              <a16:creationId xmlns:a16="http://schemas.microsoft.com/office/drawing/2014/main" id="{CEE891A5-C6BB-EB4D-4B2C-AF9ED9DAB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348074</xdr:colOff>
      <xdr:row>87</xdr:row>
      <xdr:rowOff>150519</xdr:rowOff>
    </xdr:from>
    <xdr:to>
      <xdr:col>7</xdr:col>
      <xdr:colOff>594732</xdr:colOff>
      <xdr:row>132</xdr:row>
      <xdr:rowOff>65852</xdr:rowOff>
    </xdr:to>
    <xdr:graphicFrame macro="">
      <xdr:nvGraphicFramePr>
        <xdr:cNvPr id="16" name="Chart 15">
          <a:extLst>
            <a:ext uri="{FF2B5EF4-FFF2-40B4-BE49-F238E27FC236}">
              <a16:creationId xmlns:a16="http://schemas.microsoft.com/office/drawing/2014/main" id="{ABDD4F19-9E35-2A4E-2F0F-86E30DCE2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490681</xdr:colOff>
      <xdr:row>158</xdr:row>
      <xdr:rowOff>181263</xdr:rowOff>
    </xdr:from>
    <xdr:to>
      <xdr:col>7</xdr:col>
      <xdr:colOff>631903</xdr:colOff>
      <xdr:row>173</xdr:row>
      <xdr:rowOff>153554</xdr:rowOff>
    </xdr:to>
    <xdr:graphicFrame macro="">
      <xdr:nvGraphicFramePr>
        <xdr:cNvPr id="17" name="Chart 16">
          <a:extLst>
            <a:ext uri="{FF2B5EF4-FFF2-40B4-BE49-F238E27FC236}">
              <a16:creationId xmlns:a16="http://schemas.microsoft.com/office/drawing/2014/main" id="{944ABBFF-44A8-2138-76AD-D31C7A5F8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xdr:colOff>
      <xdr:row>6</xdr:row>
      <xdr:rowOff>112059</xdr:rowOff>
    </xdr:from>
    <xdr:to>
      <xdr:col>6</xdr:col>
      <xdr:colOff>64851</xdr:colOff>
      <xdr:row>20</xdr:row>
      <xdr:rowOff>112059</xdr:rowOff>
    </xdr:to>
    <xdr:graphicFrame macro="">
      <xdr:nvGraphicFramePr>
        <xdr:cNvPr id="2" name="Chart 1">
          <a:extLst>
            <a:ext uri="{FF2B5EF4-FFF2-40B4-BE49-F238E27FC236}">
              <a16:creationId xmlns:a16="http://schemas.microsoft.com/office/drawing/2014/main" id="{D149E09A-ADCE-403B-BF22-E454B07D8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187367</xdr:colOff>
      <xdr:row>6</xdr:row>
      <xdr:rowOff>115019</xdr:rowOff>
    </xdr:from>
    <xdr:to>
      <xdr:col>12</xdr:col>
      <xdr:colOff>575554</xdr:colOff>
      <xdr:row>37</xdr:row>
      <xdr:rowOff>48846</xdr:rowOff>
    </xdr:to>
    <xdr:graphicFrame macro="">
      <xdr:nvGraphicFramePr>
        <xdr:cNvPr id="3" name="Chart 2">
          <a:extLst>
            <a:ext uri="{FF2B5EF4-FFF2-40B4-BE49-F238E27FC236}">
              <a16:creationId xmlns:a16="http://schemas.microsoft.com/office/drawing/2014/main" id="{A65FD934-71D1-4B87-BAE2-8B766AE03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127000</xdr:colOff>
      <xdr:row>6</xdr:row>
      <xdr:rowOff>115152</xdr:rowOff>
    </xdr:from>
    <xdr:to>
      <xdr:col>19</xdr:col>
      <xdr:colOff>355475</xdr:colOff>
      <xdr:row>21</xdr:row>
      <xdr:rowOff>96842</xdr:rowOff>
    </xdr:to>
    <xdr:graphicFrame macro="">
      <xdr:nvGraphicFramePr>
        <xdr:cNvPr id="4" name="Chart 3">
          <a:extLst>
            <a:ext uri="{FF2B5EF4-FFF2-40B4-BE49-F238E27FC236}">
              <a16:creationId xmlns:a16="http://schemas.microsoft.com/office/drawing/2014/main" id="{3D357B5B-A30C-42C2-9FD5-BD03A38FB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0</xdr:rowOff>
    </xdr:from>
    <xdr:to>
      <xdr:col>6</xdr:col>
      <xdr:colOff>97692</xdr:colOff>
      <xdr:row>37</xdr:row>
      <xdr:rowOff>71858</xdr:rowOff>
    </xdr:to>
    <xdr:graphicFrame macro="">
      <xdr:nvGraphicFramePr>
        <xdr:cNvPr id="5" name="Chart 4">
          <a:extLst>
            <a:ext uri="{FF2B5EF4-FFF2-40B4-BE49-F238E27FC236}">
              <a16:creationId xmlns:a16="http://schemas.microsoft.com/office/drawing/2014/main" id="{9764759F-D5E2-4E1D-9BDC-4520DC068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381000</xdr:colOff>
      <xdr:row>37</xdr:row>
      <xdr:rowOff>141768</xdr:rowOff>
    </xdr:from>
    <xdr:to>
      <xdr:col>14</xdr:col>
      <xdr:colOff>567070</xdr:colOff>
      <xdr:row>61</xdr:row>
      <xdr:rowOff>8860</xdr:rowOff>
    </xdr:to>
    <xdr:graphicFrame macro="">
      <xdr:nvGraphicFramePr>
        <xdr:cNvPr id="6" name="Chart 5">
          <a:extLst>
            <a:ext uri="{FF2B5EF4-FFF2-40B4-BE49-F238E27FC236}">
              <a16:creationId xmlns:a16="http://schemas.microsoft.com/office/drawing/2014/main" id="{BC7CF71E-01BB-4021-BFE8-E9A6A2A1C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107463</xdr:colOff>
      <xdr:row>37</xdr:row>
      <xdr:rowOff>156306</xdr:rowOff>
    </xdr:from>
    <xdr:to>
      <xdr:col>7</xdr:col>
      <xdr:colOff>263769</xdr:colOff>
      <xdr:row>67</xdr:row>
      <xdr:rowOff>159488</xdr:rowOff>
    </xdr:to>
    <xdr:graphicFrame macro="">
      <xdr:nvGraphicFramePr>
        <xdr:cNvPr id="7" name="Chart 6">
          <a:extLst>
            <a:ext uri="{FF2B5EF4-FFF2-40B4-BE49-F238E27FC236}">
              <a16:creationId xmlns:a16="http://schemas.microsoft.com/office/drawing/2014/main" id="{FEDF309B-792B-403D-85A6-E44094A42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115186</xdr:colOff>
      <xdr:row>22</xdr:row>
      <xdr:rowOff>0</xdr:rowOff>
    </xdr:from>
    <xdr:to>
      <xdr:col>19</xdr:col>
      <xdr:colOff>381000</xdr:colOff>
      <xdr:row>36</xdr:row>
      <xdr:rowOff>161314</xdr:rowOff>
    </xdr:to>
    <xdr:graphicFrame macro="">
      <xdr:nvGraphicFramePr>
        <xdr:cNvPr id="9" name="Chart 8">
          <a:extLst>
            <a:ext uri="{FF2B5EF4-FFF2-40B4-BE49-F238E27FC236}">
              <a16:creationId xmlns:a16="http://schemas.microsoft.com/office/drawing/2014/main" id="{EB9DAAF5-CB3B-457F-8112-EF3790C92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308043</xdr:colOff>
      <xdr:row>2</xdr:row>
      <xdr:rowOff>0</xdr:rowOff>
    </xdr:from>
    <xdr:to>
      <xdr:col>24</xdr:col>
      <xdr:colOff>448720</xdr:colOff>
      <xdr:row>16</xdr:row>
      <xdr:rowOff>129210</xdr:rowOff>
    </xdr:to>
    <mc:AlternateContent xmlns:mc="http://schemas.openxmlformats.org/markup-compatibility/2006">
      <mc:Choice xmlns:a14="http://schemas.microsoft.com/office/drawing/2010/main" Requires="a14">
        <xdr:graphicFrame macro="">
          <xdr:nvGraphicFramePr>
            <xdr:cNvPr id="10" name="Branch">
              <a:extLst>
                <a:ext uri="{FF2B5EF4-FFF2-40B4-BE49-F238E27FC236}">
                  <a16:creationId xmlns:a16="http://schemas.microsoft.com/office/drawing/2014/main" id="{7E7B4229-3612-412A-86CC-10B421C323A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2537673" y="357481"/>
              <a:ext cx="2586603" cy="2650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324256</xdr:colOff>
      <xdr:row>19</xdr:row>
      <xdr:rowOff>119874</xdr:rowOff>
    </xdr:from>
    <xdr:to>
      <xdr:col>24</xdr:col>
      <xdr:colOff>535271</xdr:colOff>
      <xdr:row>36</xdr:row>
      <xdr:rowOff>113489</xdr:rowOff>
    </xdr:to>
    <mc:AlternateContent xmlns:mc="http://schemas.openxmlformats.org/markup-compatibility/2006">
      <mc:Choice xmlns:a14="http://schemas.microsoft.com/office/drawing/2010/main" Requires="a14">
        <xdr:graphicFrame macro="">
          <xdr:nvGraphicFramePr>
            <xdr:cNvPr id="11" name="Skill">
              <a:extLst>
                <a:ext uri="{FF2B5EF4-FFF2-40B4-BE49-F238E27FC236}">
                  <a16:creationId xmlns:a16="http://schemas.microsoft.com/office/drawing/2014/main" id="{5EE91C89-466C-4B25-8B9A-333E74C96206}"/>
                </a:ext>
              </a:extLst>
            </xdr:cNvPr>
            <xdr:cNvGraphicFramePr/>
          </xdr:nvGraphicFramePr>
          <xdr:xfrm>
            <a:off x="0" y="0"/>
            <a:ext cx="0" cy="0"/>
          </xdr:xfrm>
          <a:graphic>
            <a:graphicData uri="http://schemas.microsoft.com/office/drawing/2010/slicer">
              <sle:slicer xmlns:sle="http://schemas.microsoft.com/office/drawing/2010/slicer" name="Skill"/>
            </a:graphicData>
          </a:graphic>
        </xdr:graphicFrame>
      </mc:Choice>
      <mc:Fallback>
        <xdr:sp macro="" textlink="">
          <xdr:nvSpPr>
            <xdr:cNvPr id="0" name=""/>
            <xdr:cNvSpPr>
              <a:spLocks noTextEdit="1"/>
            </xdr:cNvSpPr>
          </xdr:nvSpPr>
          <xdr:spPr>
            <a:xfrm>
              <a:off x="12553886" y="3534763"/>
              <a:ext cx="2656941" cy="3032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308042</xdr:colOff>
      <xdr:row>39</xdr:row>
      <xdr:rowOff>113490</xdr:rowOff>
    </xdr:from>
    <xdr:to>
      <xdr:col>25</xdr:col>
      <xdr:colOff>58846</xdr:colOff>
      <xdr:row>54</xdr:row>
      <xdr:rowOff>31456</xdr:rowOff>
    </xdr:to>
    <mc:AlternateContent xmlns:mc="http://schemas.openxmlformats.org/markup-compatibility/2006">
      <mc:Choice xmlns:a14="http://schemas.microsoft.com/office/drawing/2010/main" Requires="a14">
        <xdr:graphicFrame macro="">
          <xdr:nvGraphicFramePr>
            <xdr:cNvPr id="12" name="Internship">
              <a:extLst>
                <a:ext uri="{FF2B5EF4-FFF2-40B4-BE49-F238E27FC236}">
                  <a16:creationId xmlns:a16="http://schemas.microsoft.com/office/drawing/2014/main" id="{C6E6F388-AE3E-4A41-A9FE-9B989A510E32}"/>
                </a:ext>
              </a:extLst>
            </xdr:cNvPr>
            <xdr:cNvGraphicFramePr/>
          </xdr:nvGraphicFramePr>
          <xdr:xfrm>
            <a:off x="0" y="0"/>
            <a:ext cx="0" cy="0"/>
          </xdr:xfrm>
          <a:graphic>
            <a:graphicData uri="http://schemas.microsoft.com/office/drawing/2010/slicer">
              <sle:slicer xmlns:sle="http://schemas.microsoft.com/office/drawing/2010/slicer" name="Internship"/>
            </a:graphicData>
          </a:graphic>
        </xdr:graphicFrame>
      </mc:Choice>
      <mc:Fallback>
        <xdr:sp macro="" textlink="">
          <xdr:nvSpPr>
            <xdr:cNvPr id="0" name=""/>
            <xdr:cNvSpPr>
              <a:spLocks noTextEdit="1"/>
            </xdr:cNvSpPr>
          </xdr:nvSpPr>
          <xdr:spPr>
            <a:xfrm>
              <a:off x="12537672" y="7103194"/>
              <a:ext cx="2808211" cy="2599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291829</xdr:colOff>
      <xdr:row>57</xdr:row>
      <xdr:rowOff>64851</xdr:rowOff>
    </xdr:from>
    <xdr:to>
      <xdr:col>25</xdr:col>
      <xdr:colOff>70855</xdr:colOff>
      <xdr:row>74</xdr:row>
      <xdr:rowOff>32426</xdr:rowOff>
    </xdr:to>
    <mc:AlternateContent xmlns:mc="http://schemas.openxmlformats.org/markup-compatibility/2006">
      <mc:Choice xmlns:a14="http://schemas.microsoft.com/office/drawing/2010/main" Requires="a14">
        <xdr:graphicFrame macro="">
          <xdr:nvGraphicFramePr>
            <xdr:cNvPr id="13" name="Industry">
              <a:extLst>
                <a:ext uri="{FF2B5EF4-FFF2-40B4-BE49-F238E27FC236}">
                  <a16:creationId xmlns:a16="http://schemas.microsoft.com/office/drawing/2014/main" id="{9CD2F689-6C56-4186-BED2-EE07C1DF5500}"/>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2521459" y="10271888"/>
              <a:ext cx="2836433" cy="3006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9559722225" backgroundQuery="1" createdVersion="8" refreshedVersion="8" minRefreshableVersion="3" recordCount="0" supportSubquery="1" supportAdvancedDrill="1" xr:uid="{56064C84-9C27-4085-83D0-E37046B7B222}">
  <cacheSource type="external" connectionId="1"/>
  <cacheFields count="4">
    <cacheField name="[Measures].[Count of Student_ID 2]" caption="Count of Student_ID 2" numFmtId="0" hierarchy="33" level="32767"/>
    <cacheField name="[Measures].[Sum of Placement Indicator 2]" caption="Sum of Placement Indicator 2" numFmtId="0" hierarchy="34" level="32767"/>
    <cacheField name="[Range].[Branch].[Branch]" caption="Branch" numFmtId="0" hierarchy="1" level="1">
      <sharedItems count="7">
        <s v="Civil"/>
        <s v="CSE"/>
        <s v="ECE"/>
        <s v="EE"/>
        <s v="IT"/>
        <s v="MBA"/>
        <s v="Mechanical"/>
      </sharedItems>
    </cacheField>
    <cacheField name="[Range].[Skill].[Skill]" caption="Skill" numFmtId="0" hierarchy="4" level="1">
      <sharedItems containsSemiMixedTypes="0" containsNonDate="0" containsString="0"/>
    </cacheField>
  </cacheFields>
  <cacheHierarchies count="38">
    <cacheHierarchy uniqueName="[Range].[Student_ID]" caption="Student_ID" attribute="1" defaultMemberUniqueName="[Range].[Student_ID].[All]" allUniqueName="[Range].[Student_ID].[All]" dimensionUniqueName="[Range]" displayFolder="" count="2" memberValueDatatype="130" unbalanced="0"/>
    <cacheHierarchy uniqueName="[Range].[Branch]" caption="Branch" attribute="1" defaultMemberUniqueName="[Range].[Branch].[All]" allUniqueName="[Range].[Branch].[All]" dimensionUniqueName="[Range]" displayFolder="" count="2" memberValueDatatype="130" unbalanced="0">
      <fieldsUsage count="2">
        <fieldUsage x="-1"/>
        <fieldUsage x="2"/>
      </fieldsUsage>
    </cacheHierarchy>
    <cacheHierarchy uniqueName="[Range].[CGPA]" caption="CGPA" attribute="1" defaultMemberUniqueName="[Range].[CGPA].[All]" allUniqueName="[Range].[CGPA].[All]" dimensionUniqueName="[Range]" displayFolder="" count="2" memberValueDatatype="5" unbalanced="0"/>
    <cacheHierarchy uniqueName="[Range].[Internship]" caption="Internship" attribute="1" defaultMemberUniqueName="[Range].[Internship].[All]" allUniqueName="[Range].[Internship].[All]" dimensionUniqueName="[Range]" displayFolder="" count="2" memberValueDatatype="130" unbalanced="0"/>
    <cacheHierarchy uniqueName="[Range].[Skill]" caption="Skill" attribute="1" defaultMemberUniqueName="[Range].[Skill].[All]" allUniqueName="[Range].[Skill].[All]" dimensionUniqueName="[Range]" displayFolder="" count="2" memberValueDatatype="130" unbalanced="0">
      <fieldsUsage count="2">
        <fieldUsage x="-1"/>
        <fieldUsage x="3"/>
      </fieldsUsage>
    </cacheHierarchy>
    <cacheHierarchy uniqueName="[Range].[Placement_Status]" caption="Placement_Status" attribute="1" defaultMemberUniqueName="[Range].[Placement_Status].[All]" allUniqueName="[Range].[Placement_Status].[All]" dimensionUniqueName="[Range]" displayFolder="" count="2" memberValueDatatype="130" unbalanced="0"/>
    <cacheHierarchy uniqueName="[Range].[Package_LPA]" caption="Package_LPA" attribute="1" defaultMemberUniqueName="[Range].[Package_LPA].[All]" allUniqueName="[Range].[Package_LPA].[All]" dimensionUniqueName="[Range]" displayFolder="" count="2" memberValueDatatype="5" unbalanced="0"/>
    <cacheHierarchy uniqueName="[Range].[Company]" caption="Company" attribute="1" defaultMemberUniqueName="[Range].[Company].[All]" allUniqueName="[Range].[Company].[All]" dimensionUniqueName="[Range]" displayFolder="" count="2" memberValueDatatype="130" unbalanced="0"/>
    <cacheHierarchy uniqueName="[Range].[Industry]" caption="Industry" attribute="1" defaultMemberUniqueName="[Range].[Industry].[All]" allUniqueName="[Range].[Industry].[All]" dimensionUniqueName="[Range]" displayFolder="" count="2" memberValueDatatype="130" unbalanced="0"/>
    <cacheHierarchy uniqueName="[Range].[Student_ID 2]" caption="Student_ID 2" attribute="1" defaultMemberUniqueName="[Range].[Student_ID 2].[All]" allUniqueName="[Range].[Student_ID 2].[All]" dimensionUniqueName="[Range]" displayFolder="" count="2" memberValueDatatype="130" unbalanced="0"/>
    <cacheHierarchy uniqueName="[Range].[Placement Indicator]" caption="Placement Indicator" attribute="1" defaultMemberUniqueName="[Range].[Placement Indicator].[All]" allUniqueName="[Range].[Placement Indicator].[All]" dimensionUniqueName="[Range]" displayFolder="" count="2" memberValueDatatype="20" unbalanced="0"/>
    <cacheHierarchy uniqueName="[Range].[CGPA Group]" caption="CGPA Group" attribute="1" defaultMemberUniqueName="[Range].[CGPA Group].[All]" allUniqueName="[Range].[CGPA Group].[All]" dimensionUniqueName="[Range]" displayFolder="" count="2" memberValueDatatype="130" unbalanced="0"/>
    <cacheHierarchy uniqueName="[Range].[Package Category]" caption="Package Category" attribute="1" defaultMemberUniqueName="[Range].[Package Category].[All]" allUniqueName="[Range].[Package Category].[All]" dimensionUniqueName="[Range]" displayFolder="" count="2" memberValueDatatype="130" unbalanced="0"/>
    <cacheHierarchy uniqueName="[Range].[Internship Indicator]" caption="Internship Indicator" attribute="1" defaultMemberUniqueName="[Range].[Internship Indicator].[All]" allUniqueName="[Range].[Internship Indicator].[All]" dimensionUniqueName="[Range]" displayFolder="" count="2" memberValueDatatype="20" unbalanced="0"/>
    <cacheHierarchy uniqueName="[result].[Placement Indicator]" caption="Placement Indicator" attribute="1" defaultMemberUniqueName="[result].[Placement Indicator].[All]" allUniqueName="[result].[Placement Indicator].[All]" dimensionUniqueName="[result]" displayFolder="" count="2" memberValueDatatype="20" unbalanced="0"/>
    <cacheHierarchy uniqueName="[result].[CGPA Group]" caption="CGPA Group" attribute="1" defaultMemberUniqueName="[result].[CGPA Group].[All]" allUniqueName="[result].[CGPA Group].[All]" dimensionUniqueName="[result]" displayFolder="" count="2" memberValueDatatype="130" unbalanced="0"/>
    <cacheHierarchy uniqueName="[result].[Package Category]" caption="Package Category" attribute="1" defaultMemberUniqueName="[result].[Package Category].[All]" allUniqueName="[result].[Package Category].[All]" dimensionUniqueName="[result]" displayFolder="" count="2" memberValueDatatype="130" unbalanced="0"/>
    <cacheHierarchy uniqueName="[result].[Internship Indicator]" caption="Internship Indicator" attribute="1" defaultMemberUniqueName="[result].[Internship Indicator].[All]" allUniqueName="[result].[Internship Indicator].[All]" dimensionUniqueName="[result]" displayFolder="" count="2" memberValueDatatype="20" unbalanced="0"/>
    <cacheHierarchy uniqueName="[tblPlacement].[Student_ID]" caption="Student_ID" attribute="1" defaultMemberUniqueName="[tblPlacement].[Student_ID].[All]" allUniqueName="[tblPlacement].[Student_ID].[All]" dimensionUniqueName="[tblPlacement]" displayFolder="" count="2" memberValueDatatype="130" unbalanced="0"/>
    <cacheHierarchy uniqueName="[tblPlacement].[Branch]" caption="Branch" attribute="1" defaultMemberUniqueName="[tblPlacement].[Branch].[All]" allUniqueName="[tblPlacement].[Branch].[All]" dimensionUniqueName="[tblPlacement]" displayFolder="" count="2" memberValueDatatype="130" unbalanced="0"/>
    <cacheHierarchy uniqueName="[tblPlacement].[CGPA]" caption="CGPA" attribute="1" defaultMemberUniqueName="[tblPlacement].[CGPA].[All]" allUniqueName="[tblPlacement].[CGPA].[All]" dimensionUniqueName="[tblPlacement]" displayFolder="" count="2" memberValueDatatype="5" unbalanced="0"/>
    <cacheHierarchy uniqueName="[tblPlacement].[Internship]" caption="Internship" attribute="1" defaultMemberUniqueName="[tblPlacement].[Internship].[All]" allUniqueName="[tblPlacement].[Internship].[All]" dimensionUniqueName="[tblPlacement]" displayFolder="" count="2" memberValueDatatype="130" unbalanced="0"/>
    <cacheHierarchy uniqueName="[tblPlacement].[Skill]" caption="Skill" attribute="1" defaultMemberUniqueName="[tblPlacement].[Skill].[All]" allUniqueName="[tblPlacement].[Skill].[All]" dimensionUniqueName="[tblPlacement]" displayFolder="" count="2" memberValueDatatype="130" unbalanced="0"/>
    <cacheHierarchy uniqueName="[tblPlacement].[Placement_Status]" caption="Placement_Status" attribute="1" defaultMemberUniqueName="[tblPlacement].[Placement_Status].[All]" allUniqueName="[tblPlacement].[Placement_Status].[All]" dimensionUniqueName="[tblPlacement]" displayFolder="" count="2" memberValueDatatype="130" unbalanced="0"/>
    <cacheHierarchy uniqueName="[tblPlacement].[Package_LPA]" caption="Package_LPA" attribute="1" defaultMemberUniqueName="[tblPlacement].[Package_LPA].[All]" allUniqueName="[tblPlacement].[Package_LPA].[All]" dimensionUniqueName="[tblPlacement]" displayFolder="" count="2" memberValueDatatype="5" unbalanced="0"/>
    <cacheHierarchy uniqueName="[tblPlacement].[Company]" caption="Company" attribute="1" defaultMemberUniqueName="[tblPlacement].[Company].[All]" allUniqueName="[tblPlacement].[Company].[All]" dimensionUniqueName="[tblPlacement]" displayFolder="" count="2" memberValueDatatype="130" unbalanced="0"/>
    <cacheHierarchy uniqueName="[tblPlacement].[Industry]" caption="Industry" attribute="1" defaultMemberUniqueName="[tblPlacement].[Industry].[All]" allUniqueName="[tblPlacement].[Industry].[All]" dimensionUniqueName="[tblPlacement]" displayFolder="" count="2"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esult" uniqueName="[result]" caption="result"/>
    <dimension name="tblPlacement" uniqueName="[tblPlacement]" caption="tblPlacement"/>
  </dimensions>
  <measureGroups count="3">
    <measureGroup name="Range" caption="Range"/>
    <measureGroup name="result" caption="result"/>
    <measureGroup name="tblPlacement" caption="tblPlacement"/>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9560185187" backgroundQuery="1" createdVersion="8" refreshedVersion="8" minRefreshableVersion="3" recordCount="0" supportSubquery="1" supportAdvancedDrill="1" xr:uid="{8626C7E4-0ABD-40D9-8C38-B28E27A85726}">
  <cacheSource type="external" connectionId="1"/>
  <cacheFields count="3">
    <cacheField name="[Measures].[Count of Student_ID 2]" caption="Count of Student_ID 2" numFmtId="0" hierarchy="33" level="32767"/>
    <cacheField name="[Range].[Placement_Status].[Placement_Status]" caption="Placement_Status" numFmtId="0" hierarchy="5" level="1">
      <sharedItems count="2">
        <s v="Not Placed"/>
        <s v="Placed"/>
      </sharedItems>
    </cacheField>
    <cacheField name="[Range].[Skill].[Skill]" caption="Skill" numFmtId="0" hierarchy="4" level="1">
      <sharedItems containsSemiMixedTypes="0" containsNonDate="0" containsString="0"/>
    </cacheField>
  </cacheFields>
  <cacheHierarchies count="38">
    <cacheHierarchy uniqueName="[Range].[Student_ID]" caption="Student_ID" attribute="1" defaultMemberUniqueName="[Range].[Student_ID].[All]" allUniqueName="[Range].[Student_ID].[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cacheHierarchy uniqueName="[Range].[CGPA]" caption="CGPA" attribute="1" defaultMemberUniqueName="[Range].[CGPA].[All]" allUniqueName="[Range].[CGPA].[All]" dimensionUniqueName="[Range]" displayFolder="" count="0" memberValueDatatype="5" unbalanced="0"/>
    <cacheHierarchy uniqueName="[Range].[Internship]" caption="Internship" attribute="1" defaultMemberUniqueName="[Range].[Internship].[All]" allUniqueName="[Range].[Internship].[All]" dimensionUniqueName="[Range]" displayFolder="" count="2" memberValueDatatype="130" unbalanced="0"/>
    <cacheHierarchy uniqueName="[Range].[Skill]" caption="Skill" attribute="1" defaultMemberUniqueName="[Range].[Skill].[All]" allUniqueName="[Range].[Skill].[All]" dimensionUniqueName="[Range]" displayFolder="" count="2" memberValueDatatype="130" unbalanced="0">
      <fieldsUsage count="2">
        <fieldUsage x="-1"/>
        <fieldUsage x="2"/>
      </fieldsUsage>
    </cacheHierarchy>
    <cacheHierarchy uniqueName="[Range].[Placement_Status]" caption="Placement_Status" attribute="1" defaultMemberUniqueName="[Range].[Placement_Status].[All]" allUniqueName="[Range].[Placement_Status].[All]" dimensionUniqueName="[Range]" displayFolder="" count="2" memberValueDatatype="130" unbalanced="0">
      <fieldsUsage count="2">
        <fieldUsage x="-1"/>
        <fieldUsage x="1"/>
      </fieldsUsage>
    </cacheHierarchy>
    <cacheHierarchy uniqueName="[Range].[Package_LPA]" caption="Package_LPA" attribute="1" defaultMemberUniqueName="[Range].[Package_LPA].[All]" allUniqueName="[Range].[Package_LPA].[All]" dimensionUniqueName="[Range]" displayFolder="" count="0" memberValueDatatype="5" unbalanced="0"/>
    <cacheHierarchy uniqueName="[Range].[Company]" caption="Company" attribute="1" defaultMemberUniqueName="[Range].[Company].[All]" allUniqueName="[Range].[Company].[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cacheHierarchy uniqueName="[Range].[Student_ID 2]" caption="Student_ID 2" attribute="1" defaultMemberUniqueName="[Range].[Student_ID 2].[All]" allUniqueName="[Range].[Student_ID 2].[All]" dimensionUniqueName="[Range]" displayFolder="" count="0" memberValueDatatype="130" unbalanced="0"/>
    <cacheHierarchy uniqueName="[Range].[Placement Indicator]" caption="Placement Indicator" attribute="1" defaultMemberUniqueName="[Range].[Placement Indicator].[All]" allUniqueName="[Range].[Placement Indicator].[All]" dimensionUniqueName="[Range]" displayFolder="" count="0" memberValueDatatype="20" unbalanced="0"/>
    <cacheHierarchy uniqueName="[Range].[CGPA Group]" caption="CGPA Group" attribute="1" defaultMemberUniqueName="[Range].[CGPA Group].[All]" allUniqueName="[Range].[CGPA Group].[All]" dimensionUniqueName="[Range]" displayFolder="" count="0" memberValueDatatype="130" unbalanced="0"/>
    <cacheHierarchy uniqueName="[Range].[Package Category]" caption="Package Category" attribute="1" defaultMemberUniqueName="[Range].[Package Category].[All]" allUniqueName="[Range].[Package Category].[All]" dimensionUniqueName="[Range]" displayFolder="" count="0" memberValueDatatype="130" unbalanced="0"/>
    <cacheHierarchy uniqueName="[Range].[Internship Indicator]" caption="Internship Indicator" attribute="1" defaultMemberUniqueName="[Range].[Internship Indicator].[All]" allUniqueName="[Range].[Internship Indicator].[All]" dimensionUniqueName="[Range]" displayFolder="" count="0" memberValueDatatype="20" unbalanced="0"/>
    <cacheHierarchy uniqueName="[result].[Placement Indicator]" caption="Placement Indicator" attribute="1" defaultMemberUniqueName="[result].[Placement Indicator].[All]" allUniqueName="[result].[Placement Indicator].[All]" dimensionUniqueName="[result]" displayFolder="" count="0" memberValueDatatype="20" unbalanced="0"/>
    <cacheHierarchy uniqueName="[result].[CGPA Group]" caption="CGPA Group" attribute="1" defaultMemberUniqueName="[result].[CGPA Group].[All]" allUniqueName="[result].[CGPA Group].[All]" dimensionUniqueName="[result]" displayFolder="" count="0" memberValueDatatype="130" unbalanced="0"/>
    <cacheHierarchy uniqueName="[result].[Package Category]" caption="Package Category" attribute="1" defaultMemberUniqueName="[result].[Package Category].[All]" allUniqueName="[result].[Package Category].[All]" dimensionUniqueName="[result]" displayFolder="" count="0" memberValueDatatype="130" unbalanced="0"/>
    <cacheHierarchy uniqueName="[result].[Internship Indicator]" caption="Internship Indicator" attribute="1" defaultMemberUniqueName="[result].[Internship Indicator].[All]" allUniqueName="[result].[Internship Indicator].[All]" dimensionUniqueName="[result]" displayFolder="" count="0" memberValueDatatype="20" unbalanced="0"/>
    <cacheHierarchy uniqueName="[tblPlacement].[Student_ID]" caption="Student_ID" attribute="1" defaultMemberUniqueName="[tblPlacement].[Student_ID].[All]" allUniqueName="[tblPlacement].[Student_ID].[All]" dimensionUniqueName="[tblPlacement]" displayFolder="" count="0" memberValueDatatype="130" unbalanced="0"/>
    <cacheHierarchy uniqueName="[tblPlacement].[Branch]" caption="Branch" attribute="1" defaultMemberUniqueName="[tblPlacement].[Branch].[All]" allUniqueName="[tblPlacement].[Branch].[All]" dimensionUniqueName="[tblPlacement]" displayFolder="" count="0" memberValueDatatype="130" unbalanced="0"/>
    <cacheHierarchy uniqueName="[tblPlacement].[CGPA]" caption="CGPA" attribute="1" defaultMemberUniqueName="[tblPlacement].[CGPA].[All]" allUniqueName="[tblPlacement].[CGPA].[All]" dimensionUniqueName="[tblPlacement]" displayFolder="" count="0" memberValueDatatype="5" unbalanced="0"/>
    <cacheHierarchy uniqueName="[tblPlacement].[Internship]" caption="Internship" attribute="1" defaultMemberUniqueName="[tblPlacement].[Internship].[All]" allUniqueName="[tblPlacement].[Internship].[All]" dimensionUniqueName="[tblPlacement]" displayFolder="" count="0" memberValueDatatype="130" unbalanced="0"/>
    <cacheHierarchy uniqueName="[tblPlacement].[Skill]" caption="Skill" attribute="1" defaultMemberUniqueName="[tblPlacement].[Skill].[All]" allUniqueName="[tblPlacement].[Skill].[All]" dimensionUniqueName="[tblPlacement]" displayFolder="" count="0" memberValueDatatype="130" unbalanced="0"/>
    <cacheHierarchy uniqueName="[tblPlacement].[Placement_Status]" caption="Placement_Status" attribute="1" defaultMemberUniqueName="[tblPlacement].[Placement_Status].[All]" allUniqueName="[tblPlacement].[Placement_Status].[All]" dimensionUniqueName="[tblPlacement]" displayFolder="" count="0" memberValueDatatype="130" unbalanced="0"/>
    <cacheHierarchy uniqueName="[tblPlacement].[Package_LPA]" caption="Package_LPA" attribute="1" defaultMemberUniqueName="[tblPlacement].[Package_LPA].[All]" allUniqueName="[tblPlacement].[Package_LPA].[All]" dimensionUniqueName="[tblPlacement]" displayFolder="" count="0" memberValueDatatype="5" unbalanced="0"/>
    <cacheHierarchy uniqueName="[tblPlacement].[Company]" caption="Company" attribute="1" defaultMemberUniqueName="[tblPlacement].[Company].[All]" allUniqueName="[tblPlacement].[Company].[All]" dimensionUniqueName="[tblPlacement]" displayFolder="" count="0" memberValueDatatype="130" unbalanced="0"/>
    <cacheHierarchy uniqueName="[tblPlacement].[Industry]" caption="Industry" attribute="1" defaultMemberUniqueName="[tblPlacement].[Industry].[All]" allUniqueName="[tblPlacement].[Industry].[All]" dimensionUniqueName="[tblPlacement]" displayFolder="" count="0"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hidden="1">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esult" uniqueName="[result]" caption="result"/>
    <dimension name="tblPlacement" uniqueName="[tblPlacement]" caption="tblPlacement"/>
  </dimensions>
  <measureGroups count="3">
    <measureGroup name="Range" caption="Range"/>
    <measureGroup name="result" caption="result"/>
    <measureGroup name="tblPlacement" caption="tblPlacement"/>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9560648148" backgroundQuery="1" createdVersion="8" refreshedVersion="8" minRefreshableVersion="3" recordCount="0" supportSubquery="1" supportAdvancedDrill="1" xr:uid="{C6281DC8-00C3-4369-95B4-18DF5A73F9C8}">
  <cacheSource type="external" connectionId="1"/>
  <cacheFields count="4">
    <cacheField name="[Range].[Internship].[Internship]" caption="Internship" numFmtId="0" hierarchy="3" level="1">
      <sharedItems count="2">
        <s v="No"/>
        <s v="Yes"/>
      </sharedItems>
    </cacheField>
    <cacheField name="[Measures].[Count of Student_ID 2]" caption="Count of Student_ID 2" numFmtId="0" hierarchy="33" level="32767"/>
    <cacheField name="[Measures].[Sum of Placement Indicator 2]" caption="Sum of Placement Indicator 2" numFmtId="0" hierarchy="34" level="32767"/>
    <cacheField name="[Range].[Skill].[Skill]" caption="Skill" numFmtId="0" hierarchy="4" level="1">
      <sharedItems containsSemiMixedTypes="0" containsNonDate="0" containsString="0"/>
    </cacheField>
  </cacheFields>
  <cacheHierarchies count="38">
    <cacheHierarchy uniqueName="[Range].[Student_ID]" caption="Student_ID" attribute="1" defaultMemberUniqueName="[Range].[Student_ID].[All]" allUniqueName="[Range].[Student_ID].[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cacheHierarchy uniqueName="[Range].[CGPA]" caption="CGPA" attribute="1" defaultMemberUniqueName="[Range].[CGPA].[All]" allUniqueName="[Range].[CGPA].[All]" dimensionUniqueName="[Range]" displayFolder="" count="0" memberValueDatatype="5" unbalanced="0"/>
    <cacheHierarchy uniqueName="[Range].[Internship]" caption="Internship" attribute="1" defaultMemberUniqueName="[Range].[Internship].[All]" allUniqueName="[Range].[Internship].[All]" dimensionUniqueName="[Range]" displayFolder="" count="2" memberValueDatatype="130" unbalanced="0">
      <fieldsUsage count="2">
        <fieldUsage x="-1"/>
        <fieldUsage x="0"/>
      </fieldsUsage>
    </cacheHierarchy>
    <cacheHierarchy uniqueName="[Range].[Skill]" caption="Skill" attribute="1" defaultMemberUniqueName="[Range].[Skill].[All]" allUniqueName="[Range].[Skill].[All]" dimensionUniqueName="[Range]" displayFolder="" count="2" memberValueDatatype="130" unbalanced="0">
      <fieldsUsage count="2">
        <fieldUsage x="-1"/>
        <fieldUsage x="3"/>
      </fieldsUsage>
    </cacheHierarchy>
    <cacheHierarchy uniqueName="[Range].[Placement_Status]" caption="Placement_Status" attribute="1" defaultMemberUniqueName="[Range].[Placement_Status].[All]" allUniqueName="[Range].[Placement_Status].[All]" dimensionUniqueName="[Range]" displayFolder="" count="0" memberValueDatatype="130" unbalanced="0"/>
    <cacheHierarchy uniqueName="[Range].[Package_LPA]" caption="Package_LPA" attribute="1" defaultMemberUniqueName="[Range].[Package_LPA].[All]" allUniqueName="[Range].[Package_LPA].[All]" dimensionUniqueName="[Range]" displayFolder="" count="0" memberValueDatatype="5" unbalanced="0"/>
    <cacheHierarchy uniqueName="[Range].[Company]" caption="Company" attribute="1" defaultMemberUniqueName="[Range].[Company].[All]" allUniqueName="[Range].[Company].[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cacheHierarchy uniqueName="[Range].[Student_ID 2]" caption="Student_ID 2" attribute="1" defaultMemberUniqueName="[Range].[Student_ID 2].[All]" allUniqueName="[Range].[Student_ID 2].[All]" dimensionUniqueName="[Range]" displayFolder="" count="0" memberValueDatatype="130" unbalanced="0"/>
    <cacheHierarchy uniqueName="[Range].[Placement Indicator]" caption="Placement Indicator" attribute="1" defaultMemberUniqueName="[Range].[Placement Indicator].[All]" allUniqueName="[Range].[Placement Indicator].[All]" dimensionUniqueName="[Range]" displayFolder="" count="0" memberValueDatatype="20" unbalanced="0"/>
    <cacheHierarchy uniqueName="[Range].[CGPA Group]" caption="CGPA Group" attribute="1" defaultMemberUniqueName="[Range].[CGPA Group].[All]" allUniqueName="[Range].[CGPA Group].[All]" dimensionUniqueName="[Range]" displayFolder="" count="0" memberValueDatatype="130" unbalanced="0"/>
    <cacheHierarchy uniqueName="[Range].[Package Category]" caption="Package Category" attribute="1" defaultMemberUniqueName="[Range].[Package Category].[All]" allUniqueName="[Range].[Package Category].[All]" dimensionUniqueName="[Range]" displayFolder="" count="0" memberValueDatatype="130" unbalanced="0"/>
    <cacheHierarchy uniqueName="[Range].[Internship Indicator]" caption="Internship Indicator" attribute="1" defaultMemberUniqueName="[Range].[Internship Indicator].[All]" allUniqueName="[Range].[Internship Indicator].[All]" dimensionUniqueName="[Range]" displayFolder="" count="0" memberValueDatatype="20" unbalanced="0"/>
    <cacheHierarchy uniqueName="[result].[Placement Indicator]" caption="Placement Indicator" attribute="1" defaultMemberUniqueName="[result].[Placement Indicator].[All]" allUniqueName="[result].[Placement Indicator].[All]" dimensionUniqueName="[result]" displayFolder="" count="0" memberValueDatatype="20" unbalanced="0"/>
    <cacheHierarchy uniqueName="[result].[CGPA Group]" caption="CGPA Group" attribute="1" defaultMemberUniqueName="[result].[CGPA Group].[All]" allUniqueName="[result].[CGPA Group].[All]" dimensionUniqueName="[result]" displayFolder="" count="0" memberValueDatatype="130" unbalanced="0"/>
    <cacheHierarchy uniqueName="[result].[Package Category]" caption="Package Category" attribute="1" defaultMemberUniqueName="[result].[Package Category].[All]" allUniqueName="[result].[Package Category].[All]" dimensionUniqueName="[result]" displayFolder="" count="0" memberValueDatatype="130" unbalanced="0"/>
    <cacheHierarchy uniqueName="[result].[Internship Indicator]" caption="Internship Indicator" attribute="1" defaultMemberUniqueName="[result].[Internship Indicator].[All]" allUniqueName="[result].[Internship Indicator].[All]" dimensionUniqueName="[result]" displayFolder="" count="0" memberValueDatatype="20" unbalanced="0"/>
    <cacheHierarchy uniqueName="[tblPlacement].[Student_ID]" caption="Student_ID" attribute="1" defaultMemberUniqueName="[tblPlacement].[Student_ID].[All]" allUniqueName="[tblPlacement].[Student_ID].[All]" dimensionUniqueName="[tblPlacement]" displayFolder="" count="0" memberValueDatatype="130" unbalanced="0"/>
    <cacheHierarchy uniqueName="[tblPlacement].[Branch]" caption="Branch" attribute="1" defaultMemberUniqueName="[tblPlacement].[Branch].[All]" allUniqueName="[tblPlacement].[Branch].[All]" dimensionUniqueName="[tblPlacement]" displayFolder="" count="0" memberValueDatatype="130" unbalanced="0"/>
    <cacheHierarchy uniqueName="[tblPlacement].[CGPA]" caption="CGPA" attribute="1" defaultMemberUniqueName="[tblPlacement].[CGPA].[All]" allUniqueName="[tblPlacement].[CGPA].[All]" dimensionUniqueName="[tblPlacement]" displayFolder="" count="0" memberValueDatatype="5" unbalanced="0"/>
    <cacheHierarchy uniqueName="[tblPlacement].[Internship]" caption="Internship" attribute="1" defaultMemberUniqueName="[tblPlacement].[Internship].[All]" allUniqueName="[tblPlacement].[Internship].[All]" dimensionUniqueName="[tblPlacement]" displayFolder="" count="0" memberValueDatatype="130" unbalanced="0"/>
    <cacheHierarchy uniqueName="[tblPlacement].[Skill]" caption="Skill" attribute="1" defaultMemberUniqueName="[tblPlacement].[Skill].[All]" allUniqueName="[tblPlacement].[Skill].[All]" dimensionUniqueName="[tblPlacement]" displayFolder="" count="0" memberValueDatatype="130" unbalanced="0"/>
    <cacheHierarchy uniqueName="[tblPlacement].[Placement_Status]" caption="Placement_Status" attribute="1" defaultMemberUniqueName="[tblPlacement].[Placement_Status].[All]" allUniqueName="[tblPlacement].[Placement_Status].[All]" dimensionUniqueName="[tblPlacement]" displayFolder="" count="0" memberValueDatatype="130" unbalanced="0"/>
    <cacheHierarchy uniqueName="[tblPlacement].[Package_LPA]" caption="Package_LPA" attribute="1" defaultMemberUniqueName="[tblPlacement].[Package_LPA].[All]" allUniqueName="[tblPlacement].[Package_LPA].[All]" dimensionUniqueName="[tblPlacement]" displayFolder="" count="0" memberValueDatatype="5" unbalanced="0"/>
    <cacheHierarchy uniqueName="[tblPlacement].[Company]" caption="Company" attribute="1" defaultMemberUniqueName="[tblPlacement].[Company].[All]" allUniqueName="[tblPlacement].[Company].[All]" dimensionUniqueName="[tblPlacement]" displayFolder="" count="0" memberValueDatatype="130" unbalanced="0"/>
    <cacheHierarchy uniqueName="[tblPlacement].[Industry]" caption="Industry" attribute="1" defaultMemberUniqueName="[tblPlacement].[Industry].[All]" allUniqueName="[tblPlacement].[Industry].[All]" dimensionUniqueName="[tblPlacement]" displayFolder="" count="0"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esult" uniqueName="[result]" caption="result"/>
    <dimension name="tblPlacement" uniqueName="[tblPlacement]" caption="tblPlacement"/>
  </dimensions>
  <measureGroups count="3">
    <measureGroup name="Range" caption="Range"/>
    <measureGroup name="result" caption="result"/>
    <measureGroup name="tblPlacement" caption="tblPlacement"/>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9560995372" backgroundQuery="1" createdVersion="8" refreshedVersion="8" minRefreshableVersion="3" recordCount="0" supportSubquery="1" supportAdvancedDrill="1" xr:uid="{F9A12261-280E-49E8-8F16-71FB06ABFB2C}">
  <cacheSource type="external" connectionId="1"/>
  <cacheFields count="3">
    <cacheField name="[Range].[Skill].[Skill]" caption="Skill" numFmtId="0" hierarchy="4" level="1">
      <sharedItems count="37">
        <s v="ANSYS"/>
        <s v="AutoCAD"/>
        <s v="AutoCAD Electrical"/>
        <s v="Business Analytics"/>
        <s v="C"/>
        <s v="CATIA"/>
        <s v="Cloud Basics"/>
        <s v="Data Analytics"/>
        <s v="Digital Electronics"/>
        <s v="Embedded Systems"/>
        <s v="Estimation"/>
        <s v="Excel"/>
        <s v="Finance"/>
        <s v="HR Analytics"/>
        <s v="IoT"/>
        <s v="Java"/>
        <s v="Machine Learning"/>
        <s v="Manufacturing"/>
        <s v="MATLAB"/>
        <s v="PLC"/>
        <s v="Power BI"/>
        <s v="Power Systems"/>
        <s v="Presentation Skills"/>
        <s v="Project Planning"/>
        <s v="Python"/>
        <s v="Quality Control"/>
        <s v="Quantity Surveying"/>
        <s v="Renewable Energy"/>
        <s v="Revit"/>
        <s v="SCADA"/>
        <s v="SolidWorks"/>
        <s v="SQL"/>
        <s v="STAAD Pro"/>
        <s v="Surveying"/>
        <s v="Testing"/>
        <s v="VLSI"/>
        <s v="Web Development"/>
      </sharedItems>
    </cacheField>
    <cacheField name="[Measures].[Count of Student_ID 2]" caption="Count of Student_ID 2" numFmtId="0" hierarchy="33" level="32767"/>
    <cacheField name="[Measures].[Average of Package_LPA]" caption="Average of Package_LPA" numFmtId="0" hierarchy="37" level="32767"/>
  </cacheFields>
  <cacheHierarchies count="38">
    <cacheHierarchy uniqueName="[Range].[Student_ID]" caption="Student_ID" attribute="1" defaultMemberUniqueName="[Range].[Student_ID].[All]" allUniqueName="[Range].[Student_ID].[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cacheHierarchy uniqueName="[Range].[CGPA]" caption="CGPA" attribute="1" defaultMemberUniqueName="[Range].[CGPA].[All]" allUniqueName="[Range].[CGPA].[All]" dimensionUniqueName="[Range]" displayFolder="" count="0" memberValueDatatype="5" unbalanced="0"/>
    <cacheHierarchy uniqueName="[Range].[Internship]" caption="Internship" attribute="1" defaultMemberUniqueName="[Range].[Internship].[All]" allUniqueName="[Range].[Internship].[All]" dimensionUniqueName="[Range]" displayFolder="" count="2" memberValueDatatype="130" unbalanced="0"/>
    <cacheHierarchy uniqueName="[Range].[Skill]" caption="Skill" attribute="1" defaultMemberUniqueName="[Range].[Skill].[All]" allUniqueName="[Range].[Skill].[All]" dimensionUniqueName="[Range]" displayFolder="" count="2" memberValueDatatype="130" unbalanced="0">
      <fieldsUsage count="2">
        <fieldUsage x="-1"/>
        <fieldUsage x="0"/>
      </fieldsUsage>
    </cacheHierarchy>
    <cacheHierarchy uniqueName="[Range].[Placement_Status]" caption="Placement_Status" attribute="1" defaultMemberUniqueName="[Range].[Placement_Status].[All]" allUniqueName="[Range].[Placement_Status].[All]" dimensionUniqueName="[Range]" displayFolder="" count="0" memberValueDatatype="130" unbalanced="0"/>
    <cacheHierarchy uniqueName="[Range].[Package_LPA]" caption="Package_LPA" attribute="1" defaultMemberUniqueName="[Range].[Package_LPA].[All]" allUniqueName="[Range].[Package_LPA].[All]" dimensionUniqueName="[Range]" displayFolder="" count="0" memberValueDatatype="5" unbalanced="0"/>
    <cacheHierarchy uniqueName="[Range].[Company]" caption="Company" attribute="1" defaultMemberUniqueName="[Range].[Company].[All]" allUniqueName="[Range].[Company].[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cacheHierarchy uniqueName="[Range].[Student_ID 2]" caption="Student_ID 2" attribute="1" defaultMemberUniqueName="[Range].[Student_ID 2].[All]" allUniqueName="[Range].[Student_ID 2].[All]" dimensionUniqueName="[Range]" displayFolder="" count="0" memberValueDatatype="130" unbalanced="0"/>
    <cacheHierarchy uniqueName="[Range].[Placement Indicator]" caption="Placement Indicator" attribute="1" defaultMemberUniqueName="[Range].[Placement Indicator].[All]" allUniqueName="[Range].[Placement Indicator].[All]" dimensionUniqueName="[Range]" displayFolder="" count="0" memberValueDatatype="20" unbalanced="0"/>
    <cacheHierarchy uniqueName="[Range].[CGPA Group]" caption="CGPA Group" attribute="1" defaultMemberUniqueName="[Range].[CGPA Group].[All]" allUniqueName="[Range].[CGPA Group].[All]" dimensionUniqueName="[Range]" displayFolder="" count="0" memberValueDatatype="130" unbalanced="0"/>
    <cacheHierarchy uniqueName="[Range].[Package Category]" caption="Package Category" attribute="1" defaultMemberUniqueName="[Range].[Package Category].[All]" allUniqueName="[Range].[Package Category].[All]" dimensionUniqueName="[Range]" displayFolder="" count="0" memberValueDatatype="130" unbalanced="0"/>
    <cacheHierarchy uniqueName="[Range].[Internship Indicator]" caption="Internship Indicator" attribute="1" defaultMemberUniqueName="[Range].[Internship Indicator].[All]" allUniqueName="[Range].[Internship Indicator].[All]" dimensionUniqueName="[Range]" displayFolder="" count="0" memberValueDatatype="20" unbalanced="0"/>
    <cacheHierarchy uniqueName="[result].[Placement Indicator]" caption="Placement Indicator" attribute="1" defaultMemberUniqueName="[result].[Placement Indicator].[All]" allUniqueName="[result].[Placement Indicator].[All]" dimensionUniqueName="[result]" displayFolder="" count="0" memberValueDatatype="20" unbalanced="0"/>
    <cacheHierarchy uniqueName="[result].[CGPA Group]" caption="CGPA Group" attribute="1" defaultMemberUniqueName="[result].[CGPA Group].[All]" allUniqueName="[result].[CGPA Group].[All]" dimensionUniqueName="[result]" displayFolder="" count="0" memberValueDatatype="130" unbalanced="0"/>
    <cacheHierarchy uniqueName="[result].[Package Category]" caption="Package Category" attribute="1" defaultMemberUniqueName="[result].[Package Category].[All]" allUniqueName="[result].[Package Category].[All]" dimensionUniqueName="[result]" displayFolder="" count="0" memberValueDatatype="130" unbalanced="0"/>
    <cacheHierarchy uniqueName="[result].[Internship Indicator]" caption="Internship Indicator" attribute="1" defaultMemberUniqueName="[result].[Internship Indicator].[All]" allUniqueName="[result].[Internship Indicator].[All]" dimensionUniqueName="[result]" displayFolder="" count="0" memberValueDatatype="20" unbalanced="0"/>
    <cacheHierarchy uniqueName="[tblPlacement].[Student_ID]" caption="Student_ID" attribute="1" defaultMemberUniqueName="[tblPlacement].[Student_ID].[All]" allUniqueName="[tblPlacement].[Student_ID].[All]" dimensionUniqueName="[tblPlacement]" displayFolder="" count="0" memberValueDatatype="130" unbalanced="0"/>
    <cacheHierarchy uniqueName="[tblPlacement].[Branch]" caption="Branch" attribute="1" defaultMemberUniqueName="[tblPlacement].[Branch].[All]" allUniqueName="[tblPlacement].[Branch].[All]" dimensionUniqueName="[tblPlacement]" displayFolder="" count="0" memberValueDatatype="130" unbalanced="0"/>
    <cacheHierarchy uniqueName="[tblPlacement].[CGPA]" caption="CGPA" attribute="1" defaultMemberUniqueName="[tblPlacement].[CGPA].[All]" allUniqueName="[tblPlacement].[CGPA].[All]" dimensionUniqueName="[tblPlacement]" displayFolder="" count="0" memberValueDatatype="5" unbalanced="0"/>
    <cacheHierarchy uniqueName="[tblPlacement].[Internship]" caption="Internship" attribute="1" defaultMemberUniqueName="[tblPlacement].[Internship].[All]" allUniqueName="[tblPlacement].[Internship].[All]" dimensionUniqueName="[tblPlacement]" displayFolder="" count="0" memberValueDatatype="130" unbalanced="0"/>
    <cacheHierarchy uniqueName="[tblPlacement].[Skill]" caption="Skill" attribute="1" defaultMemberUniqueName="[tblPlacement].[Skill].[All]" allUniqueName="[tblPlacement].[Skill].[All]" dimensionUniqueName="[tblPlacement]" displayFolder="" count="0" memberValueDatatype="130" unbalanced="0"/>
    <cacheHierarchy uniqueName="[tblPlacement].[Placement_Status]" caption="Placement_Status" attribute="1" defaultMemberUniqueName="[tblPlacement].[Placement_Status].[All]" allUniqueName="[tblPlacement].[Placement_Status].[All]" dimensionUniqueName="[tblPlacement]" displayFolder="" count="0" memberValueDatatype="130" unbalanced="0"/>
    <cacheHierarchy uniqueName="[tblPlacement].[Package_LPA]" caption="Package_LPA" attribute="1" defaultMemberUniqueName="[tblPlacement].[Package_LPA].[All]" allUniqueName="[tblPlacement].[Package_LPA].[All]" dimensionUniqueName="[tblPlacement]" displayFolder="" count="0" memberValueDatatype="5" unbalanced="0"/>
    <cacheHierarchy uniqueName="[tblPlacement].[Company]" caption="Company" attribute="1" defaultMemberUniqueName="[tblPlacement].[Company].[All]" allUniqueName="[tblPlacement].[Company].[All]" dimensionUniqueName="[tblPlacement]" displayFolder="" count="0" memberValueDatatype="130" unbalanced="0"/>
    <cacheHierarchy uniqueName="[tblPlacement].[Industry]" caption="Industry" attribute="1" defaultMemberUniqueName="[tblPlacement].[Industry].[All]" allUniqueName="[tblPlacement].[Industry].[All]" dimensionUniqueName="[tblPlacement]" displayFolder="" count="0"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hidden="1">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esult" uniqueName="[result]" caption="result"/>
    <dimension name="tblPlacement" uniqueName="[tblPlacement]" caption="tblPlacement"/>
  </dimensions>
  <measureGroups count="3">
    <measureGroup name="Range" caption="Range"/>
    <measureGroup name="result" caption="result"/>
    <measureGroup name="tblPlacement" caption="tblPlacement"/>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9561574072" backgroundQuery="1" createdVersion="8" refreshedVersion="8" minRefreshableVersion="3" recordCount="0" supportSubquery="1" supportAdvancedDrill="1" xr:uid="{3FF8F61C-EBE1-4AC3-8783-4B148A5C324F}">
  <cacheSource type="external" connectionId="1"/>
  <cacheFields count="3">
    <cacheField name="[Range].[Branch].[Branch]" caption="Branch" numFmtId="0" hierarchy="1" level="1">
      <sharedItems count="7">
        <s v="Civil"/>
        <s v="CSE"/>
        <s v="ECE"/>
        <s v="EE"/>
        <s v="IT"/>
        <s v="MBA"/>
        <s v="Mechanical"/>
      </sharedItems>
    </cacheField>
    <cacheField name="[Measures].[Average of Package_LPA]" caption="Average of Package_LPA" numFmtId="0" hierarchy="37" level="32767"/>
    <cacheField name="[Range].[Skill].[Skill]" caption="Skill" numFmtId="0" hierarchy="4" level="1">
      <sharedItems containsSemiMixedTypes="0" containsNonDate="0" containsString="0"/>
    </cacheField>
  </cacheFields>
  <cacheHierarchies count="38">
    <cacheHierarchy uniqueName="[Range].[Student_ID]" caption="Student_ID" attribute="1" defaultMemberUniqueName="[Range].[Student_ID].[All]" allUniqueName="[Range].[Student_ID].[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fieldsUsage count="2">
        <fieldUsage x="-1"/>
        <fieldUsage x="0"/>
      </fieldsUsage>
    </cacheHierarchy>
    <cacheHierarchy uniqueName="[Range].[CGPA]" caption="CGPA" attribute="1" defaultMemberUniqueName="[Range].[CGPA].[All]" allUniqueName="[Range].[CGPA].[All]" dimensionUniqueName="[Range]" displayFolder="" count="0" memberValueDatatype="5" unbalanced="0"/>
    <cacheHierarchy uniqueName="[Range].[Internship]" caption="Internship" attribute="1" defaultMemberUniqueName="[Range].[Internship].[All]" allUniqueName="[Range].[Internship].[All]" dimensionUniqueName="[Range]" displayFolder="" count="2" memberValueDatatype="130" unbalanced="0"/>
    <cacheHierarchy uniqueName="[Range].[Skill]" caption="Skill" attribute="1" defaultMemberUniqueName="[Range].[Skill].[All]" allUniqueName="[Range].[Skill].[All]" dimensionUniqueName="[Range]" displayFolder="" count="2" memberValueDatatype="130" unbalanced="0">
      <fieldsUsage count="2">
        <fieldUsage x="-1"/>
        <fieldUsage x="2"/>
      </fieldsUsage>
    </cacheHierarchy>
    <cacheHierarchy uniqueName="[Range].[Placement_Status]" caption="Placement_Status" attribute="1" defaultMemberUniqueName="[Range].[Placement_Status].[All]" allUniqueName="[Range].[Placement_Status].[All]" dimensionUniqueName="[Range]" displayFolder="" count="0" memberValueDatatype="130" unbalanced="0"/>
    <cacheHierarchy uniqueName="[Range].[Package_LPA]" caption="Package_LPA" attribute="1" defaultMemberUniqueName="[Range].[Package_LPA].[All]" allUniqueName="[Range].[Package_LPA].[All]" dimensionUniqueName="[Range]" displayFolder="" count="0" memberValueDatatype="5" unbalanced="0"/>
    <cacheHierarchy uniqueName="[Range].[Company]" caption="Company" attribute="1" defaultMemberUniqueName="[Range].[Company].[All]" allUniqueName="[Range].[Company].[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cacheHierarchy uniqueName="[Range].[Student_ID 2]" caption="Student_ID 2" attribute="1" defaultMemberUniqueName="[Range].[Student_ID 2].[All]" allUniqueName="[Range].[Student_ID 2].[All]" dimensionUniqueName="[Range]" displayFolder="" count="0" memberValueDatatype="130" unbalanced="0"/>
    <cacheHierarchy uniqueName="[Range].[Placement Indicator]" caption="Placement Indicator" attribute="1" defaultMemberUniqueName="[Range].[Placement Indicator].[All]" allUniqueName="[Range].[Placement Indicator].[All]" dimensionUniqueName="[Range]" displayFolder="" count="0" memberValueDatatype="20" unbalanced="0"/>
    <cacheHierarchy uniqueName="[Range].[CGPA Group]" caption="CGPA Group" attribute="1" defaultMemberUniqueName="[Range].[CGPA Group].[All]" allUniqueName="[Range].[CGPA Group].[All]" dimensionUniqueName="[Range]" displayFolder="" count="0" memberValueDatatype="130" unbalanced="0"/>
    <cacheHierarchy uniqueName="[Range].[Package Category]" caption="Package Category" attribute="1" defaultMemberUniqueName="[Range].[Package Category].[All]" allUniqueName="[Range].[Package Category].[All]" dimensionUniqueName="[Range]" displayFolder="" count="0" memberValueDatatype="130" unbalanced="0"/>
    <cacheHierarchy uniqueName="[Range].[Internship Indicator]" caption="Internship Indicator" attribute="1" defaultMemberUniqueName="[Range].[Internship Indicator].[All]" allUniqueName="[Range].[Internship Indicator].[All]" dimensionUniqueName="[Range]" displayFolder="" count="0" memberValueDatatype="20" unbalanced="0"/>
    <cacheHierarchy uniqueName="[result].[Placement Indicator]" caption="Placement Indicator" attribute="1" defaultMemberUniqueName="[result].[Placement Indicator].[All]" allUniqueName="[result].[Placement Indicator].[All]" dimensionUniqueName="[result]" displayFolder="" count="0" memberValueDatatype="20" unbalanced="0"/>
    <cacheHierarchy uniqueName="[result].[CGPA Group]" caption="CGPA Group" attribute="1" defaultMemberUniqueName="[result].[CGPA Group].[All]" allUniqueName="[result].[CGPA Group].[All]" dimensionUniqueName="[result]" displayFolder="" count="0" memberValueDatatype="130" unbalanced="0"/>
    <cacheHierarchy uniqueName="[result].[Package Category]" caption="Package Category" attribute="1" defaultMemberUniqueName="[result].[Package Category].[All]" allUniqueName="[result].[Package Category].[All]" dimensionUniqueName="[result]" displayFolder="" count="0" memberValueDatatype="130" unbalanced="0"/>
    <cacheHierarchy uniqueName="[result].[Internship Indicator]" caption="Internship Indicator" attribute="1" defaultMemberUniqueName="[result].[Internship Indicator].[All]" allUniqueName="[result].[Internship Indicator].[All]" dimensionUniqueName="[result]" displayFolder="" count="0" memberValueDatatype="20" unbalanced="0"/>
    <cacheHierarchy uniqueName="[tblPlacement].[Student_ID]" caption="Student_ID" attribute="1" defaultMemberUniqueName="[tblPlacement].[Student_ID].[All]" allUniqueName="[tblPlacement].[Student_ID].[All]" dimensionUniqueName="[tblPlacement]" displayFolder="" count="0" memberValueDatatype="130" unbalanced="0"/>
    <cacheHierarchy uniqueName="[tblPlacement].[Branch]" caption="Branch" attribute="1" defaultMemberUniqueName="[tblPlacement].[Branch].[All]" allUniqueName="[tblPlacement].[Branch].[All]" dimensionUniqueName="[tblPlacement]" displayFolder="" count="0" memberValueDatatype="130" unbalanced="0"/>
    <cacheHierarchy uniqueName="[tblPlacement].[CGPA]" caption="CGPA" attribute="1" defaultMemberUniqueName="[tblPlacement].[CGPA].[All]" allUniqueName="[tblPlacement].[CGPA].[All]" dimensionUniqueName="[tblPlacement]" displayFolder="" count="0" memberValueDatatype="5" unbalanced="0"/>
    <cacheHierarchy uniqueName="[tblPlacement].[Internship]" caption="Internship" attribute="1" defaultMemberUniqueName="[tblPlacement].[Internship].[All]" allUniqueName="[tblPlacement].[Internship].[All]" dimensionUniqueName="[tblPlacement]" displayFolder="" count="0" memberValueDatatype="130" unbalanced="0"/>
    <cacheHierarchy uniqueName="[tblPlacement].[Skill]" caption="Skill" attribute="1" defaultMemberUniqueName="[tblPlacement].[Skill].[All]" allUniqueName="[tblPlacement].[Skill].[All]" dimensionUniqueName="[tblPlacement]" displayFolder="" count="0" memberValueDatatype="130" unbalanced="0"/>
    <cacheHierarchy uniqueName="[tblPlacement].[Placement_Status]" caption="Placement_Status" attribute="1" defaultMemberUniqueName="[tblPlacement].[Placement_Status].[All]" allUniqueName="[tblPlacement].[Placement_Status].[All]" dimensionUniqueName="[tblPlacement]" displayFolder="" count="0" memberValueDatatype="130" unbalanced="0"/>
    <cacheHierarchy uniqueName="[tblPlacement].[Package_LPA]" caption="Package_LPA" attribute="1" defaultMemberUniqueName="[tblPlacement].[Package_LPA].[All]" allUniqueName="[tblPlacement].[Package_LPA].[All]" dimensionUniqueName="[tblPlacement]" displayFolder="" count="0" memberValueDatatype="5" unbalanced="0"/>
    <cacheHierarchy uniqueName="[tblPlacement].[Company]" caption="Company" attribute="1" defaultMemberUniqueName="[tblPlacement].[Company].[All]" allUniqueName="[tblPlacement].[Company].[All]" dimensionUniqueName="[tblPlacement]" displayFolder="" count="0" memberValueDatatype="130" unbalanced="0"/>
    <cacheHierarchy uniqueName="[tblPlacement].[Industry]" caption="Industry" attribute="1" defaultMemberUniqueName="[tblPlacement].[Industry].[All]" allUniqueName="[tblPlacement].[Industry].[All]" dimensionUniqueName="[tblPlacement]" displayFolder="" count="0"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hidden="1">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hidden="1">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esult" uniqueName="[result]" caption="result"/>
    <dimension name="tblPlacement" uniqueName="[tblPlacement]" caption="tblPlacement"/>
  </dimensions>
  <measureGroups count="3">
    <measureGroup name="Range" caption="Range"/>
    <measureGroup name="result" caption="result"/>
    <measureGroup name="tblPlacement" caption="tblPlacement"/>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9561921296" backgroundQuery="1" createdVersion="8" refreshedVersion="8" minRefreshableVersion="3" recordCount="0" supportSubquery="1" supportAdvancedDrill="1" xr:uid="{6F69BB77-75DF-4F30-BD2D-FD5CD2FABA2C}">
  <cacheSource type="external" connectionId="1"/>
  <cacheFields count="3">
    <cacheField name="[Range].[Company].[Company]" caption="Company" numFmtId="0" hierarchy="7" level="1">
      <sharedItems count="45">
        <s v="ABB"/>
        <s v="Accenture"/>
        <s v="Afcons"/>
        <s v="Analog Devices"/>
        <s v="Ashok Leyland"/>
        <s v="Bajaj Auto"/>
        <s v="Bosch"/>
        <s v="Capgemini"/>
        <s v="CG Power"/>
        <s v="Cognizant"/>
        <s v="Deloitte"/>
        <s v="DLF"/>
        <s v="Eaton"/>
        <s v="EY"/>
        <s v="Godrej"/>
        <s v="HCL"/>
        <s v="Hero MotoCorp"/>
        <s v="Honeywell"/>
        <s v="IBM"/>
        <s v="Infosys"/>
        <s v="Intel"/>
        <s v="IRCON"/>
        <s v="JCB"/>
        <s v="KPMG"/>
        <s v="L&amp;T"/>
        <s v="L&amp;T Construction"/>
        <s v="L&amp;T Electrical"/>
        <s v="Maruti Suzuki"/>
        <s v="NA"/>
        <s v="NCC"/>
        <s v="NXP"/>
        <s v="Punj Lloyd"/>
        <s v="Qualcomm"/>
        <s v="Samsung"/>
        <s v="Schneider Electric"/>
        <s v="Shapoorji Pallonji"/>
        <s v="Siemens"/>
        <s v="Sony"/>
        <s v="Tata Motors"/>
        <s v="Tata Power"/>
        <s v="Tata Projects"/>
        <s v="TCS"/>
        <s v="Texas Instruments"/>
        <s v="Thermax"/>
        <s v="Wipro"/>
      </sharedItems>
    </cacheField>
    <cacheField name="[Measures].[Count of Student_ID 2]" caption="Count of Student_ID 2" numFmtId="0" hierarchy="33" level="32767"/>
    <cacheField name="[Range].[Skill].[Skill]" caption="Skill" numFmtId="0" hierarchy="4" level="1">
      <sharedItems containsSemiMixedTypes="0" containsNonDate="0" containsString="0"/>
    </cacheField>
  </cacheFields>
  <cacheHierarchies count="38">
    <cacheHierarchy uniqueName="[Range].[Student_ID]" caption="Student_ID" attribute="1" defaultMemberUniqueName="[Range].[Student_ID].[All]" allUniqueName="[Range].[Student_ID].[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cacheHierarchy uniqueName="[Range].[CGPA]" caption="CGPA" attribute="1" defaultMemberUniqueName="[Range].[CGPA].[All]" allUniqueName="[Range].[CGPA].[All]" dimensionUniqueName="[Range]" displayFolder="" count="0" memberValueDatatype="5" unbalanced="0"/>
    <cacheHierarchy uniqueName="[Range].[Internship]" caption="Internship" attribute="1" defaultMemberUniqueName="[Range].[Internship].[All]" allUniqueName="[Range].[Internship].[All]" dimensionUniqueName="[Range]" displayFolder="" count="2" memberValueDatatype="130" unbalanced="0"/>
    <cacheHierarchy uniqueName="[Range].[Skill]" caption="Skill" attribute="1" defaultMemberUniqueName="[Range].[Skill].[All]" allUniqueName="[Range].[Skill].[All]" dimensionUniqueName="[Range]" displayFolder="" count="2" memberValueDatatype="130" unbalanced="0">
      <fieldsUsage count="2">
        <fieldUsage x="-1"/>
        <fieldUsage x="2"/>
      </fieldsUsage>
    </cacheHierarchy>
    <cacheHierarchy uniqueName="[Range].[Placement_Status]" caption="Placement_Status" attribute="1" defaultMemberUniqueName="[Range].[Placement_Status].[All]" allUniqueName="[Range].[Placement_Status].[All]" dimensionUniqueName="[Range]" displayFolder="" count="0" memberValueDatatype="130" unbalanced="0"/>
    <cacheHierarchy uniqueName="[Range].[Package_LPA]" caption="Package_LPA" attribute="1" defaultMemberUniqueName="[Range].[Package_LPA].[All]" allUniqueName="[Range].[Package_LPA].[All]" dimensionUniqueName="[Range]" displayFolder="" count="0" memberValueDatatype="5" unbalanced="0"/>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Industry]" caption="Industry" attribute="1" defaultMemberUniqueName="[Range].[Industry].[All]" allUniqueName="[Range].[Industry].[All]" dimensionUniqueName="[Range]" displayFolder="" count="2" memberValueDatatype="130" unbalanced="0"/>
    <cacheHierarchy uniqueName="[Range].[Student_ID 2]" caption="Student_ID 2" attribute="1" defaultMemberUniqueName="[Range].[Student_ID 2].[All]" allUniqueName="[Range].[Student_ID 2].[All]" dimensionUniqueName="[Range]" displayFolder="" count="0" memberValueDatatype="130" unbalanced="0"/>
    <cacheHierarchy uniqueName="[Range].[Placement Indicator]" caption="Placement Indicator" attribute="1" defaultMemberUniqueName="[Range].[Placement Indicator].[All]" allUniqueName="[Range].[Placement Indicator].[All]" dimensionUniqueName="[Range]" displayFolder="" count="0" memberValueDatatype="20" unbalanced="0"/>
    <cacheHierarchy uniqueName="[Range].[CGPA Group]" caption="CGPA Group" attribute="1" defaultMemberUniqueName="[Range].[CGPA Group].[All]" allUniqueName="[Range].[CGPA Group].[All]" dimensionUniqueName="[Range]" displayFolder="" count="0" memberValueDatatype="130" unbalanced="0"/>
    <cacheHierarchy uniqueName="[Range].[Package Category]" caption="Package Category" attribute="1" defaultMemberUniqueName="[Range].[Package Category].[All]" allUniqueName="[Range].[Package Category].[All]" dimensionUniqueName="[Range]" displayFolder="" count="0" memberValueDatatype="130" unbalanced="0"/>
    <cacheHierarchy uniqueName="[Range].[Internship Indicator]" caption="Internship Indicator" attribute="1" defaultMemberUniqueName="[Range].[Internship Indicator].[All]" allUniqueName="[Range].[Internship Indicator].[All]" dimensionUniqueName="[Range]" displayFolder="" count="0" memberValueDatatype="20" unbalanced="0"/>
    <cacheHierarchy uniqueName="[result].[Placement Indicator]" caption="Placement Indicator" attribute="1" defaultMemberUniqueName="[result].[Placement Indicator].[All]" allUniqueName="[result].[Placement Indicator].[All]" dimensionUniqueName="[result]" displayFolder="" count="0" memberValueDatatype="20" unbalanced="0"/>
    <cacheHierarchy uniqueName="[result].[CGPA Group]" caption="CGPA Group" attribute="1" defaultMemberUniqueName="[result].[CGPA Group].[All]" allUniqueName="[result].[CGPA Group].[All]" dimensionUniqueName="[result]" displayFolder="" count="0" memberValueDatatype="130" unbalanced="0"/>
    <cacheHierarchy uniqueName="[result].[Package Category]" caption="Package Category" attribute="1" defaultMemberUniqueName="[result].[Package Category].[All]" allUniqueName="[result].[Package Category].[All]" dimensionUniqueName="[result]" displayFolder="" count="0" memberValueDatatype="130" unbalanced="0"/>
    <cacheHierarchy uniqueName="[result].[Internship Indicator]" caption="Internship Indicator" attribute="1" defaultMemberUniqueName="[result].[Internship Indicator].[All]" allUniqueName="[result].[Internship Indicator].[All]" dimensionUniqueName="[result]" displayFolder="" count="0" memberValueDatatype="20" unbalanced="0"/>
    <cacheHierarchy uniqueName="[tblPlacement].[Student_ID]" caption="Student_ID" attribute="1" defaultMemberUniqueName="[tblPlacement].[Student_ID].[All]" allUniqueName="[tblPlacement].[Student_ID].[All]" dimensionUniqueName="[tblPlacement]" displayFolder="" count="0" memberValueDatatype="130" unbalanced="0"/>
    <cacheHierarchy uniqueName="[tblPlacement].[Branch]" caption="Branch" attribute="1" defaultMemberUniqueName="[tblPlacement].[Branch].[All]" allUniqueName="[tblPlacement].[Branch].[All]" dimensionUniqueName="[tblPlacement]" displayFolder="" count="0" memberValueDatatype="130" unbalanced="0"/>
    <cacheHierarchy uniqueName="[tblPlacement].[CGPA]" caption="CGPA" attribute="1" defaultMemberUniqueName="[tblPlacement].[CGPA].[All]" allUniqueName="[tblPlacement].[CGPA].[All]" dimensionUniqueName="[tblPlacement]" displayFolder="" count="0" memberValueDatatype="5" unbalanced="0"/>
    <cacheHierarchy uniqueName="[tblPlacement].[Internship]" caption="Internship" attribute="1" defaultMemberUniqueName="[tblPlacement].[Internship].[All]" allUniqueName="[tblPlacement].[Internship].[All]" dimensionUniqueName="[tblPlacement]" displayFolder="" count="0" memberValueDatatype="130" unbalanced="0"/>
    <cacheHierarchy uniqueName="[tblPlacement].[Skill]" caption="Skill" attribute="1" defaultMemberUniqueName="[tblPlacement].[Skill].[All]" allUniqueName="[tblPlacement].[Skill].[All]" dimensionUniqueName="[tblPlacement]" displayFolder="" count="0" memberValueDatatype="130" unbalanced="0"/>
    <cacheHierarchy uniqueName="[tblPlacement].[Placement_Status]" caption="Placement_Status" attribute="1" defaultMemberUniqueName="[tblPlacement].[Placement_Status].[All]" allUniqueName="[tblPlacement].[Placement_Status].[All]" dimensionUniqueName="[tblPlacement]" displayFolder="" count="0" memberValueDatatype="130" unbalanced="0"/>
    <cacheHierarchy uniqueName="[tblPlacement].[Package_LPA]" caption="Package_LPA" attribute="1" defaultMemberUniqueName="[tblPlacement].[Package_LPA].[All]" allUniqueName="[tblPlacement].[Package_LPA].[All]" dimensionUniqueName="[tblPlacement]" displayFolder="" count="0" memberValueDatatype="5" unbalanced="0"/>
    <cacheHierarchy uniqueName="[tblPlacement].[Company]" caption="Company" attribute="1" defaultMemberUniqueName="[tblPlacement].[Company].[All]" allUniqueName="[tblPlacement].[Company].[All]" dimensionUniqueName="[tblPlacement]" displayFolder="" count="0" memberValueDatatype="130" unbalanced="0"/>
    <cacheHierarchy uniqueName="[tblPlacement].[Industry]" caption="Industry" attribute="1" defaultMemberUniqueName="[tblPlacement].[Industry].[All]" allUniqueName="[tblPlacement].[Industry].[All]" dimensionUniqueName="[tblPlacement]" displayFolder="" count="0"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hidden="1">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esult" uniqueName="[result]" caption="result"/>
    <dimension name="tblPlacement" uniqueName="[tblPlacement]" caption="tblPlacement"/>
  </dimensions>
  <measureGroups count="3">
    <measureGroup name="Range" caption="Range"/>
    <measureGroup name="result" caption="result"/>
    <measureGroup name="tblPlacement" caption="tblPlacement"/>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9562268519" backgroundQuery="1" createdVersion="8" refreshedVersion="8" minRefreshableVersion="3" recordCount="0" supportSubquery="1" supportAdvancedDrill="1" xr:uid="{D480F2E0-95EB-4AB8-BCF1-69A7E943A832}">
  <cacheSource type="external" connectionId="1"/>
  <cacheFields count="4">
    <cacheField name="[Range].[Industry].[Industry]" caption="Industry" numFmtId="0" hierarchy="8" level="1">
      <sharedItems count="8">
        <s v="Business"/>
        <s v="Civil"/>
        <s v="Core/Consulting"/>
        <s v="Electrical"/>
        <s v="Electronics"/>
        <s v="IT"/>
        <s v="Mechanical"/>
        <s v="NA"/>
      </sharedItems>
    </cacheField>
    <cacheField name="[Measures].[Count of Student_ID 2]" caption="Count of Student_ID 2" numFmtId="0" hierarchy="33" level="32767"/>
    <cacheField name="[Measures].[Average of Package_LPA]" caption="Average of Package_LPA" numFmtId="0" hierarchy="37" level="32767"/>
    <cacheField name="[Range].[Skill].[Skill]" caption="Skill" numFmtId="0" hierarchy="4" level="1">
      <sharedItems containsSemiMixedTypes="0" containsNonDate="0" containsString="0"/>
    </cacheField>
  </cacheFields>
  <cacheHierarchies count="38">
    <cacheHierarchy uniqueName="[Range].[Student_ID]" caption="Student_ID" attribute="1" defaultMemberUniqueName="[Range].[Student_ID].[All]" allUniqueName="[Range].[Student_ID].[All]" dimensionUniqueName="[Range]" displayFolder="" count="2" memberValueDatatype="130" unbalanced="0"/>
    <cacheHierarchy uniqueName="[Range].[Branch]" caption="Branch" attribute="1" defaultMemberUniqueName="[Range].[Branch].[All]" allUniqueName="[Range].[Branch].[All]" dimensionUniqueName="[Range]" displayFolder="" count="2" memberValueDatatype="130" unbalanced="0"/>
    <cacheHierarchy uniqueName="[Range].[CGPA]" caption="CGPA" attribute="1" defaultMemberUniqueName="[Range].[CGPA].[All]" allUniqueName="[Range].[CGPA].[All]" dimensionUniqueName="[Range]" displayFolder="" count="0" memberValueDatatype="5" unbalanced="0"/>
    <cacheHierarchy uniqueName="[Range].[Internship]" caption="Internship" attribute="1" defaultMemberUniqueName="[Range].[Internship].[All]" allUniqueName="[Range].[Internship].[All]" dimensionUniqueName="[Range]" displayFolder="" count="2" memberValueDatatype="130" unbalanced="0"/>
    <cacheHierarchy uniqueName="[Range].[Skill]" caption="Skill" attribute="1" defaultMemberUniqueName="[Range].[Skill].[All]" allUniqueName="[Range].[Skill].[All]" dimensionUniqueName="[Range]" displayFolder="" count="2" memberValueDatatype="130" unbalanced="0">
      <fieldsUsage count="2">
        <fieldUsage x="-1"/>
        <fieldUsage x="3"/>
      </fieldsUsage>
    </cacheHierarchy>
    <cacheHierarchy uniqueName="[Range].[Placement_Status]" caption="Placement_Status" attribute="1" defaultMemberUniqueName="[Range].[Placement_Status].[All]" allUniqueName="[Range].[Placement_Status].[All]" dimensionUniqueName="[Range]" displayFolder="" count="0" memberValueDatatype="130" unbalanced="0"/>
    <cacheHierarchy uniqueName="[Range].[Package_LPA]" caption="Package_LPA" attribute="1" defaultMemberUniqueName="[Range].[Package_LPA].[All]" allUniqueName="[Range].[Package_LPA].[All]" dimensionUniqueName="[Range]" displayFolder="" count="0" memberValueDatatype="5" unbalanced="0"/>
    <cacheHierarchy uniqueName="[Range].[Company]" caption="Company" attribute="1" defaultMemberUniqueName="[Range].[Company].[All]" allUniqueName="[Range].[Company].[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fieldsUsage count="2">
        <fieldUsage x="-1"/>
        <fieldUsage x="0"/>
      </fieldsUsage>
    </cacheHierarchy>
    <cacheHierarchy uniqueName="[Range].[Student_ID 2]" caption="Student_ID 2" attribute="1" defaultMemberUniqueName="[Range].[Student_ID 2].[All]" allUniqueName="[Range].[Student_ID 2].[All]" dimensionUniqueName="[Range]" displayFolder="" count="0" memberValueDatatype="130" unbalanced="0"/>
    <cacheHierarchy uniqueName="[Range].[Placement Indicator]" caption="Placement Indicator" attribute="1" defaultMemberUniqueName="[Range].[Placement Indicator].[All]" allUniqueName="[Range].[Placement Indicator].[All]" dimensionUniqueName="[Range]" displayFolder="" count="0" memberValueDatatype="20" unbalanced="0"/>
    <cacheHierarchy uniqueName="[Range].[CGPA Group]" caption="CGPA Group" attribute="1" defaultMemberUniqueName="[Range].[CGPA Group].[All]" allUniqueName="[Range].[CGPA Group].[All]" dimensionUniqueName="[Range]" displayFolder="" count="0" memberValueDatatype="130" unbalanced="0"/>
    <cacheHierarchy uniqueName="[Range].[Package Category]" caption="Package Category" attribute="1" defaultMemberUniqueName="[Range].[Package Category].[All]" allUniqueName="[Range].[Package Category].[All]" dimensionUniqueName="[Range]" displayFolder="" count="0" memberValueDatatype="130" unbalanced="0"/>
    <cacheHierarchy uniqueName="[Range].[Internship Indicator]" caption="Internship Indicator" attribute="1" defaultMemberUniqueName="[Range].[Internship Indicator].[All]" allUniqueName="[Range].[Internship Indicator].[All]" dimensionUniqueName="[Range]" displayFolder="" count="0" memberValueDatatype="20" unbalanced="0"/>
    <cacheHierarchy uniqueName="[result].[Placement Indicator]" caption="Placement Indicator" attribute="1" defaultMemberUniqueName="[result].[Placement Indicator].[All]" allUniqueName="[result].[Placement Indicator].[All]" dimensionUniqueName="[result]" displayFolder="" count="0" memberValueDatatype="20" unbalanced="0"/>
    <cacheHierarchy uniqueName="[result].[CGPA Group]" caption="CGPA Group" attribute="1" defaultMemberUniqueName="[result].[CGPA Group].[All]" allUniqueName="[result].[CGPA Group].[All]" dimensionUniqueName="[result]" displayFolder="" count="0" memberValueDatatype="130" unbalanced="0"/>
    <cacheHierarchy uniqueName="[result].[Package Category]" caption="Package Category" attribute="1" defaultMemberUniqueName="[result].[Package Category].[All]" allUniqueName="[result].[Package Category].[All]" dimensionUniqueName="[result]" displayFolder="" count="0" memberValueDatatype="130" unbalanced="0"/>
    <cacheHierarchy uniqueName="[result].[Internship Indicator]" caption="Internship Indicator" attribute="1" defaultMemberUniqueName="[result].[Internship Indicator].[All]" allUniqueName="[result].[Internship Indicator].[All]" dimensionUniqueName="[result]" displayFolder="" count="0" memberValueDatatype="20" unbalanced="0"/>
    <cacheHierarchy uniqueName="[tblPlacement].[Student_ID]" caption="Student_ID" attribute="1" defaultMemberUniqueName="[tblPlacement].[Student_ID].[All]" allUniqueName="[tblPlacement].[Student_ID].[All]" dimensionUniqueName="[tblPlacement]" displayFolder="" count="0" memberValueDatatype="130" unbalanced="0"/>
    <cacheHierarchy uniqueName="[tblPlacement].[Branch]" caption="Branch" attribute="1" defaultMemberUniqueName="[tblPlacement].[Branch].[All]" allUniqueName="[tblPlacement].[Branch].[All]" dimensionUniqueName="[tblPlacement]" displayFolder="" count="0" memberValueDatatype="130" unbalanced="0"/>
    <cacheHierarchy uniqueName="[tblPlacement].[CGPA]" caption="CGPA" attribute="1" defaultMemberUniqueName="[tblPlacement].[CGPA].[All]" allUniqueName="[tblPlacement].[CGPA].[All]" dimensionUniqueName="[tblPlacement]" displayFolder="" count="0" memberValueDatatype="5" unbalanced="0"/>
    <cacheHierarchy uniqueName="[tblPlacement].[Internship]" caption="Internship" attribute="1" defaultMemberUniqueName="[tblPlacement].[Internship].[All]" allUniqueName="[tblPlacement].[Internship].[All]" dimensionUniqueName="[tblPlacement]" displayFolder="" count="0" memberValueDatatype="130" unbalanced="0"/>
    <cacheHierarchy uniqueName="[tblPlacement].[Skill]" caption="Skill" attribute="1" defaultMemberUniqueName="[tblPlacement].[Skill].[All]" allUniqueName="[tblPlacement].[Skill].[All]" dimensionUniqueName="[tblPlacement]" displayFolder="" count="0" memberValueDatatype="130" unbalanced="0"/>
    <cacheHierarchy uniqueName="[tblPlacement].[Placement_Status]" caption="Placement_Status" attribute="1" defaultMemberUniqueName="[tblPlacement].[Placement_Status].[All]" allUniqueName="[tblPlacement].[Placement_Status].[All]" dimensionUniqueName="[tblPlacement]" displayFolder="" count="0" memberValueDatatype="130" unbalanced="0"/>
    <cacheHierarchy uniqueName="[tblPlacement].[Package_LPA]" caption="Package_LPA" attribute="1" defaultMemberUniqueName="[tblPlacement].[Package_LPA].[All]" allUniqueName="[tblPlacement].[Package_LPA].[All]" dimensionUniqueName="[tblPlacement]" displayFolder="" count="0" memberValueDatatype="5" unbalanced="0"/>
    <cacheHierarchy uniqueName="[tblPlacement].[Company]" caption="Company" attribute="1" defaultMemberUniqueName="[tblPlacement].[Company].[All]" allUniqueName="[tblPlacement].[Company].[All]" dimensionUniqueName="[tblPlacement]" displayFolder="" count="0" memberValueDatatype="130" unbalanced="0"/>
    <cacheHierarchy uniqueName="[tblPlacement].[Industry]" caption="Industry" attribute="1" defaultMemberUniqueName="[tblPlacement].[Industry].[All]" allUniqueName="[tblPlacement].[Industry].[All]" dimensionUniqueName="[tblPlacement]" displayFolder="" count="0"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hidden="1">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esult" uniqueName="[result]" caption="result"/>
    <dimension name="tblPlacement" uniqueName="[tblPlacement]" caption="tblPlacement"/>
  </dimensions>
  <measureGroups count="3">
    <measureGroup name="Range" caption="Range"/>
    <measureGroup name="result" caption="result"/>
    <measureGroup name="tblPlacement" caption="tblPlacement"/>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9562615742" backgroundQuery="1" createdVersion="8" refreshedVersion="8" minRefreshableVersion="3" recordCount="0" supportSubquery="1" supportAdvancedDrill="1" xr:uid="{D4BDD412-9688-4FD8-B9BE-6C9F30B595CC}">
  <cacheSource type="external" connectionId="1"/>
  <cacheFields count="4">
    <cacheField name="[Range].[CGPA Group].[CGPA Group]" caption="CGPA Group" numFmtId="0" hierarchy="11" level="1">
      <sharedItems count="4">
        <s v="7-8"/>
        <s v="8-9"/>
        <s v="9+"/>
        <s v="Below 7"/>
      </sharedItems>
    </cacheField>
    <cacheField name="[Measures].[Count of Student_ID 2]" caption="Count of Student_ID 2" numFmtId="0" hierarchy="33" level="32767"/>
    <cacheField name="[Measures].[Sum of Placement Indicator 2]" caption="Sum of Placement Indicator 2" numFmtId="0" hierarchy="34" level="32767"/>
    <cacheField name="[Range].[Skill].[Skill]" caption="Skill" numFmtId="0" hierarchy="4" level="1">
      <sharedItems containsSemiMixedTypes="0" containsNonDate="0" containsString="0"/>
    </cacheField>
  </cacheFields>
  <cacheHierarchies count="38">
    <cacheHierarchy uniqueName="[Range].[Student_ID]" caption="Student_ID" attribute="1" defaultMemberUniqueName="[Range].[Student_ID].[All]" allUniqueName="[Range].[Student_ID].[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cacheHierarchy uniqueName="[Range].[CGPA]" caption="CGPA" attribute="1" defaultMemberUniqueName="[Range].[CGPA].[All]" allUniqueName="[Range].[CGPA].[All]" dimensionUniqueName="[Range]" displayFolder="" count="0" memberValueDatatype="5" unbalanced="0"/>
    <cacheHierarchy uniqueName="[Range].[Internship]" caption="Internship" attribute="1" defaultMemberUniqueName="[Range].[Internship].[All]" allUniqueName="[Range].[Internship].[All]" dimensionUniqueName="[Range]" displayFolder="" count="2" memberValueDatatype="130" unbalanced="0"/>
    <cacheHierarchy uniqueName="[Range].[Skill]" caption="Skill" attribute="1" defaultMemberUniqueName="[Range].[Skill].[All]" allUniqueName="[Range].[Skill].[All]" dimensionUniqueName="[Range]" displayFolder="" count="2" memberValueDatatype="130" unbalanced="0">
      <fieldsUsage count="2">
        <fieldUsage x="-1"/>
        <fieldUsage x="3"/>
      </fieldsUsage>
    </cacheHierarchy>
    <cacheHierarchy uniqueName="[Range].[Placement_Status]" caption="Placement_Status" attribute="1" defaultMemberUniqueName="[Range].[Placement_Status].[All]" allUniqueName="[Range].[Placement_Status].[All]" dimensionUniqueName="[Range]" displayFolder="" count="0" memberValueDatatype="130" unbalanced="0"/>
    <cacheHierarchy uniqueName="[Range].[Package_LPA]" caption="Package_LPA" attribute="1" defaultMemberUniqueName="[Range].[Package_LPA].[All]" allUniqueName="[Range].[Package_LPA].[All]" dimensionUniqueName="[Range]" displayFolder="" count="0" memberValueDatatype="5" unbalanced="0"/>
    <cacheHierarchy uniqueName="[Range].[Company]" caption="Company" attribute="1" defaultMemberUniqueName="[Range].[Company].[All]" allUniqueName="[Range].[Company].[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cacheHierarchy uniqueName="[Range].[Student_ID 2]" caption="Student_ID 2" attribute="1" defaultMemberUniqueName="[Range].[Student_ID 2].[All]" allUniqueName="[Range].[Student_ID 2].[All]" dimensionUniqueName="[Range]" displayFolder="" count="0" memberValueDatatype="130" unbalanced="0"/>
    <cacheHierarchy uniqueName="[Range].[Placement Indicator]" caption="Placement Indicator" attribute="1" defaultMemberUniqueName="[Range].[Placement Indicator].[All]" allUniqueName="[Range].[Placement Indicator].[All]" dimensionUniqueName="[Range]" displayFolder="" count="0" memberValueDatatype="20" unbalanced="0"/>
    <cacheHierarchy uniqueName="[Range].[CGPA Group]" caption="CGPA Group" attribute="1" defaultMemberUniqueName="[Range].[CGPA Group].[All]" allUniqueName="[Range].[CGPA Group].[All]" dimensionUniqueName="[Range]" displayFolder="" count="2" memberValueDatatype="130" unbalanced="0">
      <fieldsUsage count="2">
        <fieldUsage x="-1"/>
        <fieldUsage x="0"/>
      </fieldsUsage>
    </cacheHierarchy>
    <cacheHierarchy uniqueName="[Range].[Package Category]" caption="Package Category" attribute="1" defaultMemberUniqueName="[Range].[Package Category].[All]" allUniqueName="[Range].[Package Category].[All]" dimensionUniqueName="[Range]" displayFolder="" count="0" memberValueDatatype="130" unbalanced="0"/>
    <cacheHierarchy uniqueName="[Range].[Internship Indicator]" caption="Internship Indicator" attribute="1" defaultMemberUniqueName="[Range].[Internship Indicator].[All]" allUniqueName="[Range].[Internship Indicator].[All]" dimensionUniqueName="[Range]" displayFolder="" count="0" memberValueDatatype="20" unbalanced="0"/>
    <cacheHierarchy uniqueName="[result].[Placement Indicator]" caption="Placement Indicator" attribute="1" defaultMemberUniqueName="[result].[Placement Indicator].[All]" allUniqueName="[result].[Placement Indicator].[All]" dimensionUniqueName="[result]" displayFolder="" count="0" memberValueDatatype="20" unbalanced="0"/>
    <cacheHierarchy uniqueName="[result].[CGPA Group]" caption="CGPA Group" attribute="1" defaultMemberUniqueName="[result].[CGPA Group].[All]" allUniqueName="[result].[CGPA Group].[All]" dimensionUniqueName="[result]" displayFolder="" count="0" memberValueDatatype="130" unbalanced="0"/>
    <cacheHierarchy uniqueName="[result].[Package Category]" caption="Package Category" attribute="1" defaultMemberUniqueName="[result].[Package Category].[All]" allUniqueName="[result].[Package Category].[All]" dimensionUniqueName="[result]" displayFolder="" count="0" memberValueDatatype="130" unbalanced="0"/>
    <cacheHierarchy uniqueName="[result].[Internship Indicator]" caption="Internship Indicator" attribute="1" defaultMemberUniqueName="[result].[Internship Indicator].[All]" allUniqueName="[result].[Internship Indicator].[All]" dimensionUniqueName="[result]" displayFolder="" count="0" memberValueDatatype="20" unbalanced="0"/>
    <cacheHierarchy uniqueName="[tblPlacement].[Student_ID]" caption="Student_ID" attribute="1" defaultMemberUniqueName="[tblPlacement].[Student_ID].[All]" allUniqueName="[tblPlacement].[Student_ID].[All]" dimensionUniqueName="[tblPlacement]" displayFolder="" count="0" memberValueDatatype="130" unbalanced="0"/>
    <cacheHierarchy uniqueName="[tblPlacement].[Branch]" caption="Branch" attribute="1" defaultMemberUniqueName="[tblPlacement].[Branch].[All]" allUniqueName="[tblPlacement].[Branch].[All]" dimensionUniqueName="[tblPlacement]" displayFolder="" count="0" memberValueDatatype="130" unbalanced="0"/>
    <cacheHierarchy uniqueName="[tblPlacement].[CGPA]" caption="CGPA" attribute="1" defaultMemberUniqueName="[tblPlacement].[CGPA].[All]" allUniqueName="[tblPlacement].[CGPA].[All]" dimensionUniqueName="[tblPlacement]" displayFolder="" count="0" memberValueDatatype="5" unbalanced="0"/>
    <cacheHierarchy uniqueName="[tblPlacement].[Internship]" caption="Internship" attribute="1" defaultMemberUniqueName="[tblPlacement].[Internship].[All]" allUniqueName="[tblPlacement].[Internship].[All]" dimensionUniqueName="[tblPlacement]" displayFolder="" count="0" memberValueDatatype="130" unbalanced="0"/>
    <cacheHierarchy uniqueName="[tblPlacement].[Skill]" caption="Skill" attribute="1" defaultMemberUniqueName="[tblPlacement].[Skill].[All]" allUniqueName="[tblPlacement].[Skill].[All]" dimensionUniqueName="[tblPlacement]" displayFolder="" count="0" memberValueDatatype="130" unbalanced="0"/>
    <cacheHierarchy uniqueName="[tblPlacement].[Placement_Status]" caption="Placement_Status" attribute="1" defaultMemberUniqueName="[tblPlacement].[Placement_Status].[All]" allUniqueName="[tblPlacement].[Placement_Status].[All]" dimensionUniqueName="[tblPlacement]" displayFolder="" count="0" memberValueDatatype="130" unbalanced="0"/>
    <cacheHierarchy uniqueName="[tblPlacement].[Package_LPA]" caption="Package_LPA" attribute="1" defaultMemberUniqueName="[tblPlacement].[Package_LPA].[All]" allUniqueName="[tblPlacement].[Package_LPA].[All]" dimensionUniqueName="[tblPlacement]" displayFolder="" count="0" memberValueDatatype="5" unbalanced="0"/>
    <cacheHierarchy uniqueName="[tblPlacement].[Company]" caption="Company" attribute="1" defaultMemberUniqueName="[tblPlacement].[Company].[All]" allUniqueName="[tblPlacement].[Company].[All]" dimensionUniqueName="[tblPlacement]" displayFolder="" count="0" memberValueDatatype="130" unbalanced="0"/>
    <cacheHierarchy uniqueName="[tblPlacement].[Industry]" caption="Industry" attribute="1" defaultMemberUniqueName="[tblPlacement].[Industry].[All]" allUniqueName="[tblPlacement].[Industry].[All]" dimensionUniqueName="[tblPlacement]" displayFolder="" count="0"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hidden="1">
      <extLst>
        <ext xmlns:x15="http://schemas.microsoft.com/office/spreadsheetml/2010/11/main" uri="{B97F6D7D-B522-45F9-BDA1-12C45D357490}">
          <x15:cacheHierarchy aggregatedColumn="6"/>
        </ext>
      </extLst>
    </cacheHierarchy>
  </cacheHierarchies>
  <kpis count="0"/>
  <dimensions count="4">
    <dimension measure="1" name="Measures" uniqueName="[Measures]" caption="Measures"/>
    <dimension name="Range" uniqueName="[Range]" caption="Range"/>
    <dimension name="result" uniqueName="[result]" caption="result"/>
    <dimension name="tblPlacement" uniqueName="[tblPlacement]" caption="tblPlacement"/>
  </dimensions>
  <measureGroups count="3">
    <measureGroup name="Range" caption="Range"/>
    <measureGroup name="result" caption="result"/>
    <measureGroup name="tblPlacement" caption="tblPlacement"/>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33642476855" backgroundQuery="1" createdVersion="3" refreshedVersion="8" minRefreshableVersion="3" recordCount="0" supportSubquery="1" supportAdvancedDrill="1" xr:uid="{CB0C8AE1-FC2A-4A31-96F3-BC83E94AD91B}">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Range].[Student_ID]" caption="Student_ID" attribute="1" defaultMemberUniqueName="[Range].[Student_ID].[All]" allUniqueName="[Range].[Student_ID].[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cacheHierarchy uniqueName="[Range].[CGPA]" caption="CGPA" attribute="1" defaultMemberUniqueName="[Range].[CGPA].[All]" allUniqueName="[Range].[CGPA].[All]" dimensionUniqueName="[Range]" displayFolder="" count="0" memberValueDatatype="5" unbalanced="0"/>
    <cacheHierarchy uniqueName="[Range].[Internship]" caption="Internship" attribute="1" defaultMemberUniqueName="[Range].[Internship].[All]" allUniqueName="[Range].[Internship].[All]" dimensionUniqueName="[Range]" displayFolder="" count="2" memberValueDatatype="130" unbalanced="0"/>
    <cacheHierarchy uniqueName="[Range].[Skill]" caption="Skill" attribute="1" defaultMemberUniqueName="[Range].[Skill].[All]" allUniqueName="[Range].[Skill].[All]" dimensionUniqueName="[Range]" displayFolder="" count="2" memberValueDatatype="130" unbalanced="0"/>
    <cacheHierarchy uniqueName="[Range].[Placement_Status]" caption="Placement_Status" attribute="1" defaultMemberUniqueName="[Range].[Placement_Status].[All]" allUniqueName="[Range].[Placement_Status].[All]" dimensionUniqueName="[Range]" displayFolder="" count="0" memberValueDatatype="130" unbalanced="0"/>
    <cacheHierarchy uniqueName="[Range].[Package_LPA]" caption="Package_LPA" attribute="1" defaultMemberUniqueName="[Range].[Package_LPA].[All]" allUniqueName="[Range].[Package_LPA].[All]" dimensionUniqueName="[Range]" displayFolder="" count="0" memberValueDatatype="5" unbalanced="0"/>
    <cacheHierarchy uniqueName="[Range].[Company]" caption="Company" attribute="1" defaultMemberUniqueName="[Range].[Company].[All]" allUniqueName="[Range].[Company].[All]" dimensionUniqueName="[Range]" displayFolder="" count="0" memberValueDatatype="130" unbalanced="0"/>
    <cacheHierarchy uniqueName="[Range].[Industry]" caption="Industry" attribute="1" defaultMemberUniqueName="[Range].[Industry].[All]" allUniqueName="[Range].[Industry].[All]" dimensionUniqueName="[Range]" displayFolder="" count="2" memberValueDatatype="130" unbalanced="0"/>
    <cacheHierarchy uniqueName="[Range].[Student_ID 2]" caption="Student_ID 2" attribute="1" defaultMemberUniqueName="[Range].[Student_ID 2].[All]" allUniqueName="[Range].[Student_ID 2].[All]" dimensionUniqueName="[Range]" displayFolder="" count="0" memberValueDatatype="130" unbalanced="0"/>
    <cacheHierarchy uniqueName="[Range].[Placement Indicator]" caption="Placement Indicator" attribute="1" defaultMemberUniqueName="[Range].[Placement Indicator].[All]" allUniqueName="[Range].[Placement Indicator].[All]" dimensionUniqueName="[Range]" displayFolder="" count="0" memberValueDatatype="20" unbalanced="0"/>
    <cacheHierarchy uniqueName="[Range].[CGPA Group]" caption="CGPA Group" attribute="1" defaultMemberUniqueName="[Range].[CGPA Group].[All]" allUniqueName="[Range].[CGPA Group].[All]" dimensionUniqueName="[Range]" displayFolder="" count="0" memberValueDatatype="130" unbalanced="0"/>
    <cacheHierarchy uniqueName="[Range].[Package Category]" caption="Package Category" attribute="1" defaultMemberUniqueName="[Range].[Package Category].[All]" allUniqueName="[Range].[Package Category].[All]" dimensionUniqueName="[Range]" displayFolder="" count="0" memberValueDatatype="130" unbalanced="0"/>
    <cacheHierarchy uniqueName="[Range].[Internship Indicator]" caption="Internship Indicator" attribute="1" defaultMemberUniqueName="[Range].[Internship Indicator].[All]" allUniqueName="[Range].[Internship Indicator].[All]" dimensionUniqueName="[Range]" displayFolder="" count="0" memberValueDatatype="20" unbalanced="0"/>
    <cacheHierarchy uniqueName="[result].[Placement Indicator]" caption="Placement Indicator" attribute="1" defaultMemberUniqueName="[result].[Placement Indicator].[All]" allUniqueName="[result].[Placement Indicator].[All]" dimensionUniqueName="[result]" displayFolder="" count="0" memberValueDatatype="20" unbalanced="0"/>
    <cacheHierarchy uniqueName="[result].[CGPA Group]" caption="CGPA Group" attribute="1" defaultMemberUniqueName="[result].[CGPA Group].[All]" allUniqueName="[result].[CGPA Group].[All]" dimensionUniqueName="[result]" displayFolder="" count="0" memberValueDatatype="130" unbalanced="0"/>
    <cacheHierarchy uniqueName="[result].[Package Category]" caption="Package Category" attribute="1" defaultMemberUniqueName="[result].[Package Category].[All]" allUniqueName="[result].[Package Category].[All]" dimensionUniqueName="[result]" displayFolder="" count="0" memberValueDatatype="130" unbalanced="0"/>
    <cacheHierarchy uniqueName="[result].[Internship Indicator]" caption="Internship Indicator" attribute="1" defaultMemberUniqueName="[result].[Internship Indicator].[All]" allUniqueName="[result].[Internship Indicator].[All]" dimensionUniqueName="[result]" displayFolder="" count="0" memberValueDatatype="20" unbalanced="0"/>
    <cacheHierarchy uniqueName="[tblPlacement].[Student_ID]" caption="Student_ID" attribute="1" defaultMemberUniqueName="[tblPlacement].[Student_ID].[All]" allUniqueName="[tblPlacement].[Student_ID].[All]" dimensionUniqueName="[tblPlacement]" displayFolder="" count="0" memberValueDatatype="130" unbalanced="0"/>
    <cacheHierarchy uniqueName="[tblPlacement].[Branch]" caption="Branch" attribute="1" defaultMemberUniqueName="[tblPlacement].[Branch].[All]" allUniqueName="[tblPlacement].[Branch].[All]" dimensionUniqueName="[tblPlacement]" displayFolder="" count="0" memberValueDatatype="130" unbalanced="0"/>
    <cacheHierarchy uniqueName="[tblPlacement].[CGPA]" caption="CGPA" attribute="1" defaultMemberUniqueName="[tblPlacement].[CGPA].[All]" allUniqueName="[tblPlacement].[CGPA].[All]" dimensionUniqueName="[tblPlacement]" displayFolder="" count="0" memberValueDatatype="5" unbalanced="0"/>
    <cacheHierarchy uniqueName="[tblPlacement].[Internship]" caption="Internship" attribute="1" defaultMemberUniqueName="[tblPlacement].[Internship].[All]" allUniqueName="[tblPlacement].[Internship].[All]" dimensionUniqueName="[tblPlacement]" displayFolder="" count="0" memberValueDatatype="130" unbalanced="0"/>
    <cacheHierarchy uniqueName="[tblPlacement].[Skill]" caption="Skill" attribute="1" defaultMemberUniqueName="[tblPlacement].[Skill].[All]" allUniqueName="[tblPlacement].[Skill].[All]" dimensionUniqueName="[tblPlacement]" displayFolder="" count="0" memberValueDatatype="130" unbalanced="0"/>
    <cacheHierarchy uniqueName="[tblPlacement].[Placement_Status]" caption="Placement_Status" attribute="1" defaultMemberUniqueName="[tblPlacement].[Placement_Status].[All]" allUniqueName="[tblPlacement].[Placement_Status].[All]" dimensionUniqueName="[tblPlacement]" displayFolder="" count="0" memberValueDatatype="130" unbalanced="0"/>
    <cacheHierarchy uniqueName="[tblPlacement].[Package_LPA]" caption="Package_LPA" attribute="1" defaultMemberUniqueName="[tblPlacement].[Package_LPA].[All]" allUniqueName="[tblPlacement].[Package_LPA].[All]" dimensionUniqueName="[tblPlacement]" displayFolder="" count="0" memberValueDatatype="5" unbalanced="0"/>
    <cacheHierarchy uniqueName="[tblPlacement].[Company]" caption="Company" attribute="1" defaultMemberUniqueName="[tblPlacement].[Company].[All]" allUniqueName="[tblPlacement].[Company].[All]" dimensionUniqueName="[tblPlacement]" displayFolder="" count="0" memberValueDatatype="130" unbalanced="0"/>
    <cacheHierarchy uniqueName="[tblPlacement].[Industry]" caption="Industry" attribute="1" defaultMemberUniqueName="[tblPlacement].[Industry].[All]" allUniqueName="[tblPlacement].[Industry].[All]" dimensionUniqueName="[tblPlacement]" displayFolder="" count="0" memberValueDatatype="130" unbalanced="0"/>
    <cacheHierarchy uniqueName="[Measures].[__XL_Count tblPlacement]" caption="__XL_Count tblPlacement" measure="1" displayFolder="" measureGroup="tblPlacement" count="0" hidden="1"/>
    <cacheHierarchy uniqueName="[Measures].[__XL_Count result]" caption="__XL_Count result" measure="1" displayFolder="" measureGroup="result"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tblPlacement" count="0" hidden="1">
      <extLst>
        <ext xmlns:x15="http://schemas.microsoft.com/office/spreadsheetml/2010/11/main" uri="{B97F6D7D-B522-45F9-BDA1-12C45D357490}">
          <x15:cacheHierarchy aggregatedColumn="18"/>
        </ext>
      </extLst>
    </cacheHierarchy>
    <cacheHierarchy uniqueName="[Measures].[Sum of Placement Indicator]" caption="Sum of Placement Indicator" measure="1" displayFolder="" measureGroup="result" count="0" hidden="1">
      <extLst>
        <ext xmlns:x15="http://schemas.microsoft.com/office/spreadsheetml/2010/11/main" uri="{B97F6D7D-B522-45F9-BDA1-12C45D357490}">
          <x15:cacheHierarchy aggregatedColumn="14"/>
        </ext>
      </extLst>
    </cacheHierarchy>
    <cacheHierarchy uniqueName="[Measures].[Count of Student_ID 2]" caption="Count of Student_ID 2" measure="1" displayFolder="" measureGroup="Range" count="0" hidden="1">
      <extLst>
        <ext xmlns:x15="http://schemas.microsoft.com/office/spreadsheetml/2010/11/main" uri="{B97F6D7D-B522-45F9-BDA1-12C45D357490}">
          <x15:cacheHierarchy aggregatedColumn="0"/>
        </ext>
      </extLst>
    </cacheHierarchy>
    <cacheHierarchy uniqueName="[Measures].[Sum of Placement Indicator 2]" caption="Sum of Placement Indicator 2" measure="1" displayFolder="" measureGroup="Range" count="0" hidden="1">
      <extLst>
        <ext xmlns:x15="http://schemas.microsoft.com/office/spreadsheetml/2010/11/main" uri="{B97F6D7D-B522-45F9-BDA1-12C45D357490}">
          <x15:cacheHierarchy aggregatedColumn="10"/>
        </ext>
      </extLst>
    </cacheHierarchy>
    <cacheHierarchy uniqueName="[Measures].[Sum of Internship Indicator]" caption="Sum of Internship Indicator" measure="1" displayFolder="" measureGroup="Range" count="0" hidden="1">
      <extLst>
        <ext xmlns:x15="http://schemas.microsoft.com/office/spreadsheetml/2010/11/main" uri="{B97F6D7D-B522-45F9-BDA1-12C45D357490}">
          <x15:cacheHierarchy aggregatedColumn="13"/>
        </ext>
      </extLst>
    </cacheHierarchy>
    <cacheHierarchy uniqueName="[Measures].[Sum of Package_LPA]" caption="Sum of Package_LPA" measure="1" displayFolder="" measureGroup="Range" count="0" hidden="1">
      <extLst>
        <ext xmlns:x15="http://schemas.microsoft.com/office/spreadsheetml/2010/11/main" uri="{B97F6D7D-B522-45F9-BDA1-12C45D357490}">
          <x15:cacheHierarchy aggregatedColumn="6"/>
        </ext>
      </extLst>
    </cacheHierarchy>
    <cacheHierarchy uniqueName="[Measures].[Average of Package_LPA]" caption="Average of Package_LPA"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7395765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4F87F0-5E5C-4104-A24C-9C5C4ADF3533}" name="PivotTable8" cacheId="8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GPA Group">
  <location ref="A146:C151"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Student_ID" fld="1" subtotal="count" baseField="0" baseItem="0"/>
    <dataField name="Sum of Placement Indicator" fld="2" baseField="0" baseItem="0"/>
  </dataFields>
  <pivotHierarchies count="38">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cement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CD06D4-0333-4FF9-A121-EEEA4B59A04A}" name="PivotTable6" cacheId="8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dustry">
  <location ref="A132:C141"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Count of Student_ID" fld="1" subtotal="count" baseField="0" baseItem="0"/>
    <dataField name="Average of Package_LPA" fld="2" subtotal="average" baseField="0" baseItem="0"/>
  </dataFields>
  <pivotHierarchies count="38">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ackage_LPA"/>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cement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04FE3-23DB-45A7-A558-3948BA4171E0}" name="PivotTable1" cacheId="8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Branch">
  <location ref="A3:C1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Fields count="1">
    <field x="-2"/>
  </colFields>
  <colItems count="2">
    <i>
      <x/>
    </i>
    <i i="1">
      <x v="1"/>
    </i>
  </colItems>
  <dataFields count="2">
    <dataField name="Count of Student_ID" fld="0" subtotal="count" baseField="0" baseItem="0"/>
    <dataField name="Sum of Placement Indicator" fld="1" baseField="0" baseItem="0"/>
  </dataFields>
  <pivotHierarchies count="38">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cement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B43561-78DE-4EED-B9A7-0BFBCBD27684}" name="PivotTable5" cacheId="8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mpanies">
  <location ref="A81:B127"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Student_ID" fld="1" subtotal="count" baseField="0" baseItem="0"/>
  </dataFields>
  <pivotHierarchies count="38">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cement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2DD5E5-885B-4F4E-9E53-F086DA45E010}" name="PivotTable4" cacheId="8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A68:B7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Package_LPA" fld="1" subtotal="average" baseField="0" baseItem="0"/>
  </dataFields>
  <pivotHierarchies count="38">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ackage_LPA"/>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cement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5F2A46-50F5-45A4-A29F-B17730367707}" name="PivotTable3" cacheId="8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kill">
  <location ref="A25:C63" firstHeaderRow="0" firstDataRow="1" firstDataCol="1"/>
  <pivotFields count="3">
    <pivotField axis="axisRow" allDrilled="1"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dataField="1" subtotalTop="0" showAll="0" defaultSubtotal="0"/>
    <pivotField dataField="1" subtotalTop="0" showAll="0" defaultSubtota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2">
    <i>
      <x/>
    </i>
    <i i="1">
      <x v="1"/>
    </i>
  </colItems>
  <dataFields count="2">
    <dataField name="Average of Package_LPA" fld="2" subtotal="average" baseField="0" baseItem="0"/>
    <dataField name="Count of Student_ID" fld="1" subtotal="count" baseField="0" baseItem="0"/>
  </dataFields>
  <pivotHierarchies count="38">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ackage_LPA"/>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cement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9FBEF1-12B5-4A16-919A-46EE9B3976C5}" name="PivotTable2" cacheId="8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ternship Status">
  <location ref="A17:C2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Student_ID" fld="1" subtotal="count" baseField="0" baseItem="0"/>
    <dataField name="Sum of Placement Indicator" fld="2" baseField="0" baseItem="0"/>
  </dataFields>
  <pivotHierarchies count="38">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cement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25F269-1ACC-40AB-AFBC-F0FA7BA416E6}" name="PivotTable3" cacheId="8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lacement Status">
  <location ref="A55:B5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Student_ID" fld="0"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lacement_Data!$A:$N">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7B0BEDD-DA4C-4D00-AB2B-7CDD0C720A5C}" sourceName="[Range].[Branch]">
  <pivotTables>
    <pivotTable tabId="5" name="PivotTable1"/>
    <pivotTable tabId="6" name="PivotTable3"/>
    <pivotTable tabId="5" name="PivotTable2"/>
    <pivotTable tabId="5" name="PivotTable3"/>
    <pivotTable tabId="5" name="PivotTable4"/>
    <pivotTable tabId="5" name="PivotTable5"/>
    <pivotTable tabId="5" name="PivotTable6"/>
    <pivotTable tabId="5" name="PivotTable8"/>
  </pivotTables>
  <data>
    <olap pivotCacheId="1739576596">
      <levels count="2">
        <level uniqueName="[Range].[Branch].[(All)]" sourceCaption="(All)" count="0"/>
        <level uniqueName="[Range].[Branch].[Branch]" sourceCaption="Branch" count="8">
          <ranges>
            <range startItem="0">
              <i n="[Range].[Branch].&amp;[Civil]" c="Civil"/>
              <i n="[Range].[Branch].&amp;[CSE]" c="CSE"/>
              <i n="[Range].[Branch].&amp;[ECE]" c="ECE"/>
              <i n="[Range].[Branch].&amp;[EE]" c="EE"/>
              <i n="[Range].[Branch].&amp;[IT]" c="IT"/>
              <i n="[Range].[Branch].&amp;[MBA]" c="MBA"/>
              <i n="[Range].[Branch].&amp;[Mechanical]" c="Mechanical"/>
              <i n="[Range].[Branch].&amp;" c="(blank)" nd="1"/>
            </range>
          </ranges>
        </level>
      </levels>
      <selections count="1">
        <selection n="[Range].[Branc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 xr10:uid="{ED1CD816-2DED-46F1-A329-F3532B3BEAF6}" sourceName="[Range].[Skill]">
  <pivotTables>
    <pivotTable tabId="5" name="PivotTable1"/>
    <pivotTable tabId="6" name="PivotTable3"/>
    <pivotTable tabId="5" name="PivotTable2"/>
    <pivotTable tabId="5" name="PivotTable3"/>
    <pivotTable tabId="5" name="PivotTable4"/>
    <pivotTable tabId="5" name="PivotTable5"/>
    <pivotTable tabId="5" name="PivotTable6"/>
    <pivotTable tabId="5" name="PivotTable8"/>
  </pivotTables>
  <data>
    <olap pivotCacheId="1739576596">
      <levels count="2">
        <level uniqueName="[Range].[Skill].[(All)]" sourceCaption="(All)" count="0"/>
        <level uniqueName="[Range].[Skill].[Skill]" sourceCaption="Skill" count="38">
          <ranges>
            <range startItem="0">
              <i n="[Range].[Skill].&amp;[ANSYS]" c="ANSYS"/>
              <i n="[Range].[Skill].&amp;[AutoCAD]" c="AutoCAD"/>
              <i n="[Range].[Skill].&amp;[AutoCAD Electrical]" c="AutoCAD Electrical"/>
              <i n="[Range].[Skill].&amp;[Business Analytics]" c="Business Analytics"/>
              <i n="[Range].[Skill].&amp;[C]" c="C"/>
              <i n="[Range].[Skill].&amp;[CATIA]" c="CATIA"/>
              <i n="[Range].[Skill].&amp;[Cloud Basics]" c="Cloud Basics"/>
              <i n="[Range].[Skill].&amp;[Data Analytics]" c="Data Analytics"/>
              <i n="[Range].[Skill].&amp;[Digital Electronics]" c="Digital Electronics"/>
              <i n="[Range].[Skill].&amp;[Embedded Systems]" c="Embedded Systems"/>
              <i n="[Range].[Skill].&amp;[Estimation]" c="Estimation"/>
              <i n="[Range].[Skill].&amp;[Excel]" c="Excel"/>
              <i n="[Range].[Skill].&amp;[Finance]" c="Finance"/>
              <i n="[Range].[Skill].&amp;[HR Analytics]" c="HR Analytics"/>
              <i n="[Range].[Skill].&amp;[IoT]" c="IoT"/>
              <i n="[Range].[Skill].&amp;[Java]" c="Java"/>
              <i n="[Range].[Skill].&amp;[Machine Learning]" c="Machine Learning"/>
              <i n="[Range].[Skill].&amp;[Manufacturing]" c="Manufacturing"/>
              <i n="[Range].[Skill].&amp;[MATLAB]" c="MATLAB"/>
              <i n="[Range].[Skill].&amp;[PLC]" c="PLC"/>
              <i n="[Range].[Skill].&amp;[Power BI]" c="Power BI"/>
              <i n="[Range].[Skill].&amp;[Power Systems]" c="Power Systems"/>
              <i n="[Range].[Skill].&amp;[Presentation Skills]" c="Presentation Skills"/>
              <i n="[Range].[Skill].&amp;[Project Planning]" c="Project Planning"/>
              <i n="[Range].[Skill].&amp;[Python]" c="Python"/>
              <i n="[Range].[Skill].&amp;[Quality Control]" c="Quality Control"/>
              <i n="[Range].[Skill].&amp;[Quantity Surveying]" c="Quantity Surveying"/>
              <i n="[Range].[Skill].&amp;[Renewable Energy]" c="Renewable Energy"/>
              <i n="[Range].[Skill].&amp;[Revit]" c="Revit"/>
              <i n="[Range].[Skill].&amp;[SCADA]" c="SCADA"/>
              <i n="[Range].[Skill].&amp;[SolidWorks]" c="SolidWorks"/>
              <i n="[Range].[Skill].&amp;[SQL]" c="SQL"/>
              <i n="[Range].[Skill].&amp;[STAAD Pro]" c="STAAD Pro"/>
              <i n="[Range].[Skill].&amp;[Surveying]" c="Surveying"/>
              <i n="[Range].[Skill].&amp;[Testing]" c="Testing"/>
              <i n="[Range].[Skill].&amp;[VLSI]" c="VLSI"/>
              <i n="[Range].[Skill].&amp;[Web Development]" c="Web Development"/>
              <i n="[Range].[Skill].&amp;" c="(blank)" nd="1"/>
            </range>
          </ranges>
        </level>
      </levels>
      <selections count="1">
        <selection n="[Range].[Skil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ship" xr10:uid="{9CBDAF86-669A-4B78-B1C5-5184BF543C89}" sourceName="[Range].[Internship]">
  <pivotTables>
    <pivotTable tabId="5" name="PivotTable1"/>
    <pivotTable tabId="6" name="PivotTable3"/>
    <pivotTable tabId="5" name="PivotTable2"/>
    <pivotTable tabId="5" name="PivotTable3"/>
    <pivotTable tabId="5" name="PivotTable4"/>
    <pivotTable tabId="5" name="PivotTable5"/>
    <pivotTable tabId="5" name="PivotTable6"/>
    <pivotTable tabId="5" name="PivotTable8"/>
  </pivotTables>
  <data>
    <olap pivotCacheId="1739576596">
      <levels count="2">
        <level uniqueName="[Range].[Internship].[(All)]" sourceCaption="(All)" count="0"/>
        <level uniqueName="[Range].[Internship].[Internship]" sourceCaption="Internship" count="3">
          <ranges>
            <range startItem="0">
              <i n="[Range].[Internship].&amp;[No]" c="No"/>
              <i n="[Range].[Internship].&amp;[Yes]" c="Yes"/>
              <i n="[Range].[Internship].&amp;" c="(blank)" nd="1"/>
            </range>
          </ranges>
        </level>
      </levels>
      <selections count="1">
        <selection n="[Range].[Internshi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ED5ED2B-7AE1-4C18-9D97-919E34973D67}" sourceName="[Range].[Industry]">
  <pivotTables>
    <pivotTable tabId="5" name="PivotTable1"/>
    <pivotTable tabId="6" name="PivotTable3"/>
    <pivotTable tabId="5" name="PivotTable2"/>
    <pivotTable tabId="5" name="PivotTable3"/>
    <pivotTable tabId="5" name="PivotTable4"/>
    <pivotTable tabId="5" name="PivotTable5"/>
    <pivotTable tabId="5" name="PivotTable6"/>
    <pivotTable tabId="5" name="PivotTable8"/>
  </pivotTables>
  <data>
    <olap pivotCacheId="1739576596">
      <levels count="2">
        <level uniqueName="[Range].[Industry].[(All)]" sourceCaption="(All)" count="0"/>
        <level uniqueName="[Range].[Industry].[Industry]" sourceCaption="Industry" count="9">
          <ranges>
            <range startItem="0">
              <i n="[Range].[Industry].&amp;[Business]" c="Business"/>
              <i n="[Range].[Industry].&amp;[Civil]" c="Civil"/>
              <i n="[Range].[Industry].&amp;[Core/Consulting]" c="Core/Consulting"/>
              <i n="[Range].[Industry].&amp;[Electrical]" c="Electrical"/>
              <i n="[Range].[Industry].&amp;[Electronics]" c="Electronics"/>
              <i n="[Range].[Industry].&amp;[IT]" c="IT"/>
              <i n="[Range].[Industry].&amp;[Mechanical]" c="Mechanical"/>
              <i n="[Range].[Industry].&amp;[NA]" c="NA"/>
              <i n="[Range].[Industry].&amp;" c="(blank)" nd="1"/>
            </range>
          </ranges>
        </level>
      </levels>
      <selections count="1">
        <selection n="[Range].[Indus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4F6D831-CCE1-42A6-ACFD-D79451ECBC0E}" cache="Slicer_Branch" caption="Branch" level="1" rowHeight="234950"/>
  <slicer name="Skill" xr10:uid="{218E18C3-ADCA-43D2-ABE8-57AA6349FA14}" cache="Slicer_Skill" caption="Skill" level="1" rowHeight="234950"/>
  <slicer name="Internship" xr10:uid="{2DE0D462-4F91-40A5-BD3E-B0D2551BB2B5}" cache="Slicer_Internship" caption="Internship" level="1" rowHeight="234950"/>
  <slicer name="Industry" xr10:uid="{57257FBB-00F3-4506-B968-F6C0DF2BB73E}" cache="Slicer_Industry" caption="Indust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EC301D-2E49-4F97-89B0-9E5F69A45B94}" name="Table3" displayName="Table3" ref="A1:B8" totalsRowShown="0" headerRowDxfId="4">
  <autoFilter ref="A1:B8" xr:uid="{2BEC301D-2E49-4F97-89B0-9E5F69A45B94}"/>
  <tableColumns count="2">
    <tableColumn id="1" xr3:uid="{033210BB-AE3F-4899-A77F-EF647B655509}" name="Branch ">
      <calculatedColumnFormula>PivotSheets!A4</calculatedColumnFormula>
    </tableColumn>
    <tableColumn id="2" xr3:uid="{4F3544C7-D5A7-4E6D-8059-581B7A18B529}" name="Placement%" dataDxfId="5">
      <calculatedColumnFormula>PivotSheets!D4</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A8EE50-FD22-4210-9134-7B9550E82D9E}" name="Table4" displayName="Table4" ref="A15:B52" totalsRowShown="0" headerRowDxfId="2">
  <autoFilter ref="A15:B52" xr:uid="{98A8EE50-FD22-4210-9134-7B9550E82D9E}"/>
  <tableColumns count="2">
    <tableColumn id="1" xr3:uid="{E3FD0975-C538-48AB-A96C-835D9D5296D7}" name="Skill"/>
    <tableColumn id="2" xr3:uid="{A53172D0-279C-45D5-B3FE-8CF57DC95363}" name="Average_Package"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067F96-4A1A-4A90-9437-8CC58F83F66C}" name="Table5" displayName="Table5" ref="A69:B71" totalsRowShown="0">
  <autoFilter ref="A69:B71" xr:uid="{C3067F96-4A1A-4A90-9437-8CC58F83F66C}"/>
  <tableColumns count="2">
    <tableColumn id="1" xr3:uid="{0F74F3A7-F166-486F-8CBA-820B5413783B}" name="Internship">
      <calculatedColumnFormula>PivotSheets!A18</calculatedColumnFormula>
    </tableColumn>
    <tableColumn id="2" xr3:uid="{9A608663-7C1E-49BF-9FD2-1F3543D2DDB5}" name="Placement%" dataDxfId="1" dataCellStyle="Percent">
      <calculatedColumnFormula>PivotSheets!D18</calculatedColumnFormula>
    </tableColumn>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DD726-8093-45FC-ADED-DAC1861F9972}" name="Table6" displayName="Table6" ref="A88:B133" totalsRowShown="0">
  <autoFilter ref="A88:B133" xr:uid="{3AF51C56-A742-4DA2-977B-140C0652BAE9}">
    <filterColumn colId="0">
      <filters>
        <filter val="ABB"/>
        <filter val="Accenture"/>
        <filter val="Afcons"/>
        <filter val="Analog Devices"/>
        <filter val="Ashok Leyland"/>
        <filter val="Bajaj Auto"/>
        <filter val="Bosch"/>
        <filter val="Capgemini"/>
        <filter val="CG Power"/>
        <filter val="Cognizant"/>
        <filter val="Deloitte"/>
        <filter val="DLF"/>
        <filter val="Eaton"/>
        <filter val="EY"/>
        <filter val="Godrej"/>
        <filter val="HCL"/>
        <filter val="Hero MotoCorp"/>
        <filter val="Honeywell"/>
        <filter val="IBM"/>
        <filter val="Infosys"/>
        <filter val="Intel"/>
        <filter val="IRCON"/>
        <filter val="JCB"/>
        <filter val="KPMG"/>
        <filter val="L&amp;T"/>
        <filter val="L&amp;T Construction"/>
        <filter val="L&amp;T Electrical"/>
        <filter val="Maruti Suzuki"/>
        <filter val="NCC"/>
        <filter val="NXP"/>
        <filter val="Punj Lloyd"/>
        <filter val="Qualcomm"/>
        <filter val="Samsung"/>
        <filter val="Schneider Electric"/>
        <filter val="Shapoorji Pallonji"/>
        <filter val="Siemens"/>
        <filter val="Sony"/>
        <filter val="Tata Motors"/>
        <filter val="Tata Power"/>
        <filter val="Tata Projects"/>
        <filter val="TCS"/>
        <filter val="Texas Instruments"/>
        <filter val="Thermax"/>
        <filter val="Wipro"/>
      </filters>
    </filterColumn>
  </autoFilter>
  <sortState xmlns:xlrd2="http://schemas.microsoft.com/office/spreadsheetml/2017/richdata2" ref="A89:B133">
    <sortCondition descending="1" ref="B88:B133"/>
  </sortState>
  <tableColumns count="2">
    <tableColumn id="1" xr3:uid="{49558173-A437-4B30-9C71-25FBBD3FF48C}" name="Company"/>
    <tableColumn id="2" xr3:uid="{59E0049E-12A5-4143-807A-4B5C88F66CD4}" name="Count Student_ID"/>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530561-7366-46CC-A8D4-07CCE971AAA9}" name="Table7" displayName="Table7" ref="A138:B145" totalsRowShown="0">
  <autoFilter ref="A138:B145" xr:uid="{59530561-7366-46CC-A8D4-07CCE971AAA9}"/>
  <tableColumns count="2">
    <tableColumn id="1" xr3:uid="{145A243D-2270-436D-8BE0-1B3FB28E3C8E}" name="Industry">
      <calculatedColumnFormula>PivotSheets!A133</calculatedColumnFormula>
    </tableColumn>
    <tableColumn id="2" xr3:uid="{2B8DF7C4-2D0F-4595-8FA4-EE341BD135EA}" name="Count Student_ID">
      <calculatedColumnFormula>PivotSheets!B133</calculatedColumnFormula>
    </tableColumn>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62A80B-981C-4404-8E04-D4E99444F3C4}" name="Table8" displayName="Table8" ref="A158:B162" totalsRowShown="0">
  <autoFilter ref="A158:B162" xr:uid="{3A62A80B-981C-4404-8E04-D4E99444F3C4}"/>
  <tableColumns count="2">
    <tableColumn id="1" xr3:uid="{50E10190-0B7E-4E73-B19F-2A0EEB61C00F}" name="CGPA Group">
      <calculatedColumnFormula>PivotSheets!A146</calculatedColumnFormula>
    </tableColumn>
    <tableColumn id="2" xr3:uid="{50AA69C4-E265-480B-BF64-00436A82C5AF}" name="Placement%" dataDxfId="0">
      <calculatedColumnFormula>PivotSheets!D146</calculatedColumnFormula>
    </tableColumn>
  </tableColumns>
  <tableStyleInfo name="TableStyleMedium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B50757-B8F8-47C3-8864-B5F9BA10E3F2}" name="tblPlacement" displayName="tblPlacement" ref="A1:I501" totalsRowShown="0" headerRowDxfId="9">
  <autoFilter ref="A1:I501" xr:uid="{00000000-0009-0000-0000-000000000000}"/>
  <tableColumns count="9">
    <tableColumn id="1" xr3:uid="{7684BE99-48BC-4140-9EBF-42F9902BA79E}" name="Student_ID"/>
    <tableColumn id="2" xr3:uid="{4C126467-D938-4F2F-B0A3-4573BB8BF81F}" name="Branch"/>
    <tableColumn id="3" xr3:uid="{A2C991D4-9669-42A2-B06C-F1D815456780}" name="CGPA"/>
    <tableColumn id="4" xr3:uid="{CEDB9040-379D-4FC4-BC4D-5AEA65FDBE7C}" name="Internship"/>
    <tableColumn id="5" xr3:uid="{B9D7EF11-1030-49ED-9AFF-2A7EA0C37188}" name="Skill"/>
    <tableColumn id="6" xr3:uid="{B7BCF66E-4872-404F-A86B-F65EFFAA79E3}" name="Placement_Status"/>
    <tableColumn id="7" xr3:uid="{028DB7B7-A272-4ABE-99AB-A51846911DC0}" name="Package_LPA"/>
    <tableColumn id="8" xr3:uid="{F91D9CBE-FCAF-4713-A7C6-6E170A0FAEDD}" name="Company"/>
    <tableColumn id="9" xr3:uid="{A626A582-61DB-4F36-AA5C-16BFDD813A61}" name="Industry"/>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963F6F-D2F8-4982-AD62-EF85866DAFD6}" name="result" displayName="result" ref="J1:N501" totalsRowShown="0" headerRowDxfId="8">
  <autoFilter ref="J1:N501" xr:uid="{67963F6F-D2F8-4982-AD62-EF85866DAFD6}"/>
  <tableColumns count="5">
    <tableColumn id="4" xr3:uid="{31781F67-416F-44F1-87F9-4F9FC2CA9BAB}" name="Student_ID"/>
    <tableColumn id="3" xr3:uid="{5532FE10-CDB8-459A-8E67-3CBE652859E6}" name="Placement Indicator">
      <calculatedColumnFormula>IF(tblPlacement[Placement_Status]="Placed",1,0)</calculatedColumnFormula>
    </tableColumn>
    <tableColumn id="1" xr3:uid="{9502ACBA-3CBB-4330-A62A-6E739E975F03}" name="CGPA Group">
      <calculatedColumnFormula>IF(tblPlacement[CGPA]&gt;=9,"9+", IF(tblPlacement[CGPA]&gt;=8,"8-9",IF(tblPlacement[CGPA]&gt;=7,"7-8","Below 7")))</calculatedColumnFormula>
    </tableColumn>
    <tableColumn id="2" xr3:uid="{605720D9-A448-4700-A1D6-986729247695}" name="Package Category" dataDxfId="7">
      <calculatedColumnFormula>IF(tblPlacement[Package_LPA]&gt;=15,"High",IF(tblPlacement[Package_LPA]&gt;=8,"Medium","Low"))</calculatedColumnFormula>
    </tableColumn>
    <tableColumn id="10" xr3:uid="{8BECD324-AED4-4631-A199-24B0B3D36D8B}" name="Internship Indicator" dataDxfId="6">
      <calculatedColumnFormula>IF(tblPlacement[Internship]="Yes",1,0)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ivotTable" Target="../pivotTables/pivotTable8.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55DD6-8F53-4A9E-A236-60FB1219869A}">
  <dimension ref="A1:D151"/>
  <sheetViews>
    <sheetView topLeftCell="B23" zoomScale="54" zoomScaleNormal="55" workbookViewId="0">
      <selection activeCell="B8" sqref="B8"/>
    </sheetView>
  </sheetViews>
  <sheetFormatPr defaultRowHeight="14.4" x14ac:dyDescent="0.3"/>
  <cols>
    <col min="1" max="1" width="20.21875" bestFit="1" customWidth="1"/>
    <col min="2" max="2" width="25.21875" bestFit="1" customWidth="1"/>
    <col min="3" max="3" width="33.88671875" bestFit="1" customWidth="1"/>
    <col min="4" max="4" width="17.44140625" bestFit="1" customWidth="1"/>
  </cols>
  <sheetData>
    <row r="1" spans="1:4" ht="21" x14ac:dyDescent="0.4">
      <c r="A1" s="12" t="s">
        <v>630</v>
      </c>
    </row>
    <row r="3" spans="1:4" x14ac:dyDescent="0.3">
      <c r="A3" s="6" t="s">
        <v>1</v>
      </c>
      <c r="B3" t="s">
        <v>628</v>
      </c>
      <c r="C3" t="s">
        <v>629</v>
      </c>
      <c r="D3" t="s">
        <v>638</v>
      </c>
    </row>
    <row r="4" spans="1:4" x14ac:dyDescent="0.3">
      <c r="A4" s="7" t="s">
        <v>26</v>
      </c>
      <c r="B4" s="10">
        <v>45</v>
      </c>
      <c r="C4" s="10">
        <v>30</v>
      </c>
      <c r="D4" s="4">
        <f>C4/B4</f>
        <v>0.66666666666666663</v>
      </c>
    </row>
    <row r="5" spans="1:4" x14ac:dyDescent="0.3">
      <c r="A5" s="7" t="s">
        <v>17</v>
      </c>
      <c r="B5" s="10">
        <v>136</v>
      </c>
      <c r="C5" s="10">
        <v>94</v>
      </c>
      <c r="D5" s="4">
        <f t="shared" ref="D5:D10" si="0">C5/B5</f>
        <v>0.69117647058823528</v>
      </c>
    </row>
    <row r="6" spans="1:4" x14ac:dyDescent="0.3">
      <c r="A6" s="7" t="s">
        <v>30</v>
      </c>
      <c r="B6" s="10">
        <v>80</v>
      </c>
      <c r="C6" s="10">
        <v>52</v>
      </c>
      <c r="D6" s="4">
        <f t="shared" si="0"/>
        <v>0.65</v>
      </c>
    </row>
    <row r="7" spans="1:4" x14ac:dyDescent="0.3">
      <c r="A7" s="7" t="s">
        <v>10</v>
      </c>
      <c r="B7" s="10">
        <v>60</v>
      </c>
      <c r="C7" s="10">
        <v>39</v>
      </c>
      <c r="D7" s="4">
        <f t="shared" si="0"/>
        <v>0.65</v>
      </c>
    </row>
    <row r="8" spans="1:4" x14ac:dyDescent="0.3">
      <c r="A8" s="7" t="s">
        <v>20</v>
      </c>
      <c r="B8" s="10">
        <v>98</v>
      </c>
      <c r="C8" s="10">
        <v>68</v>
      </c>
      <c r="D8" s="4">
        <f t="shared" si="0"/>
        <v>0.69387755102040816</v>
      </c>
    </row>
    <row r="9" spans="1:4" x14ac:dyDescent="0.3">
      <c r="A9" s="7" t="s">
        <v>131</v>
      </c>
      <c r="B9" s="10">
        <v>16</v>
      </c>
      <c r="C9" s="10">
        <v>10</v>
      </c>
      <c r="D9" s="4">
        <f t="shared" si="0"/>
        <v>0.625</v>
      </c>
    </row>
    <row r="10" spans="1:4" x14ac:dyDescent="0.3">
      <c r="A10" s="7" t="s">
        <v>43</v>
      </c>
      <c r="B10" s="10">
        <v>65</v>
      </c>
      <c r="C10" s="10">
        <v>32</v>
      </c>
      <c r="D10" s="4">
        <f t="shared" si="0"/>
        <v>0.49230769230769234</v>
      </c>
    </row>
    <row r="11" spans="1:4" x14ac:dyDescent="0.3">
      <c r="A11" s="7" t="s">
        <v>627</v>
      </c>
      <c r="B11" s="10">
        <v>500</v>
      </c>
      <c r="C11" s="10">
        <v>325</v>
      </c>
    </row>
    <row r="13" spans="1:4" x14ac:dyDescent="0.3">
      <c r="A13" s="7"/>
    </row>
    <row r="15" spans="1:4" ht="21" x14ac:dyDescent="0.4">
      <c r="A15" s="13" t="s">
        <v>631</v>
      </c>
    </row>
    <row r="17" spans="1:4" x14ac:dyDescent="0.3">
      <c r="A17" s="6" t="s">
        <v>649</v>
      </c>
      <c r="B17" t="s">
        <v>628</v>
      </c>
      <c r="C17" t="s">
        <v>629</v>
      </c>
      <c r="D17" t="s">
        <v>640</v>
      </c>
    </row>
    <row r="18" spans="1:4" x14ac:dyDescent="0.3">
      <c r="A18" s="7" t="s">
        <v>22</v>
      </c>
      <c r="B18" s="10">
        <v>208</v>
      </c>
      <c r="C18" s="10">
        <v>116</v>
      </c>
      <c r="D18">
        <f>C18/B18</f>
        <v>0.55769230769230771</v>
      </c>
    </row>
    <row r="19" spans="1:4" x14ac:dyDescent="0.3">
      <c r="A19" s="7" t="s">
        <v>11</v>
      </c>
      <c r="B19" s="10">
        <v>292</v>
      </c>
      <c r="C19" s="10">
        <v>209</v>
      </c>
      <c r="D19">
        <f t="shared" ref="D19:D20" si="1">C19/B19</f>
        <v>0.71575342465753422</v>
      </c>
    </row>
    <row r="20" spans="1:4" x14ac:dyDescent="0.3">
      <c r="A20" s="7" t="s">
        <v>627</v>
      </c>
      <c r="B20" s="10">
        <v>500</v>
      </c>
      <c r="C20" s="10">
        <v>325</v>
      </c>
      <c r="D20">
        <f t="shared" si="1"/>
        <v>0.65</v>
      </c>
    </row>
    <row r="23" spans="1:4" ht="21" x14ac:dyDescent="0.4">
      <c r="A23" s="13" t="s">
        <v>632</v>
      </c>
    </row>
    <row r="25" spans="1:4" x14ac:dyDescent="0.3">
      <c r="A25" s="6" t="s">
        <v>4</v>
      </c>
      <c r="B25" t="s">
        <v>633</v>
      </c>
      <c r="C25" t="s">
        <v>628</v>
      </c>
    </row>
    <row r="26" spans="1:4" x14ac:dyDescent="0.3">
      <c r="A26" s="7" t="s">
        <v>69</v>
      </c>
      <c r="B26" s="10">
        <v>5.6352941176470583</v>
      </c>
      <c r="C26" s="10">
        <v>17</v>
      </c>
    </row>
    <row r="27" spans="1:4" x14ac:dyDescent="0.3">
      <c r="A27" s="7" t="s">
        <v>44</v>
      </c>
      <c r="B27" s="10">
        <v>3.4000000000000004</v>
      </c>
      <c r="C27" s="10">
        <v>9</v>
      </c>
    </row>
    <row r="28" spans="1:4" x14ac:dyDescent="0.3">
      <c r="A28" s="7" t="s">
        <v>49</v>
      </c>
      <c r="B28" s="10">
        <v>5.35</v>
      </c>
      <c r="C28" s="10">
        <v>4</v>
      </c>
    </row>
    <row r="29" spans="1:4" x14ac:dyDescent="0.3">
      <c r="A29" s="7" t="s">
        <v>327</v>
      </c>
      <c r="B29" s="10">
        <v>6.1</v>
      </c>
      <c r="C29" s="10">
        <v>1</v>
      </c>
    </row>
    <row r="30" spans="1:4" x14ac:dyDescent="0.3">
      <c r="A30" s="7" t="s">
        <v>31</v>
      </c>
      <c r="B30" s="10">
        <v>8.1142857142857139</v>
      </c>
      <c r="C30" s="10">
        <v>7</v>
      </c>
    </row>
    <row r="31" spans="1:4" x14ac:dyDescent="0.3">
      <c r="A31" s="7" t="s">
        <v>234</v>
      </c>
      <c r="B31" s="10">
        <v>7.7</v>
      </c>
      <c r="C31" s="10">
        <v>6</v>
      </c>
    </row>
    <row r="32" spans="1:4" x14ac:dyDescent="0.3">
      <c r="A32" s="7" t="s">
        <v>200</v>
      </c>
      <c r="B32" s="10">
        <v>7.536363636363637</v>
      </c>
      <c r="C32" s="10">
        <v>11</v>
      </c>
    </row>
    <row r="33" spans="1:3" x14ac:dyDescent="0.3">
      <c r="A33" s="7" t="s">
        <v>80</v>
      </c>
      <c r="B33" s="10">
        <v>9.6444444444444457</v>
      </c>
      <c r="C33" s="10">
        <v>27</v>
      </c>
    </row>
    <row r="34" spans="1:3" x14ac:dyDescent="0.3">
      <c r="A34" s="7" t="s">
        <v>335</v>
      </c>
      <c r="B34" s="10">
        <v>6.375</v>
      </c>
      <c r="C34" s="10">
        <v>8</v>
      </c>
    </row>
    <row r="35" spans="1:3" x14ac:dyDescent="0.3">
      <c r="A35" s="7" t="s">
        <v>285</v>
      </c>
      <c r="B35" s="10">
        <v>11.8</v>
      </c>
      <c r="C35" s="10">
        <v>8</v>
      </c>
    </row>
    <row r="36" spans="1:3" x14ac:dyDescent="0.3">
      <c r="A36" s="7" t="s">
        <v>84</v>
      </c>
      <c r="B36" s="10">
        <v>8.1</v>
      </c>
      <c r="C36" s="10">
        <v>8</v>
      </c>
    </row>
    <row r="37" spans="1:3" x14ac:dyDescent="0.3">
      <c r="A37" s="7" t="s">
        <v>39</v>
      </c>
      <c r="B37" s="10">
        <v>7.7546875000000011</v>
      </c>
      <c r="C37" s="10">
        <v>64</v>
      </c>
    </row>
    <row r="38" spans="1:3" x14ac:dyDescent="0.3">
      <c r="A38" s="7" t="s">
        <v>552</v>
      </c>
      <c r="B38" s="10">
        <v>24.4</v>
      </c>
      <c r="C38" s="10">
        <v>1</v>
      </c>
    </row>
    <row r="39" spans="1:3" x14ac:dyDescent="0.3">
      <c r="A39" s="7" t="s">
        <v>513</v>
      </c>
      <c r="B39" s="10">
        <v>4.5</v>
      </c>
      <c r="C39" s="10">
        <v>2</v>
      </c>
    </row>
    <row r="40" spans="1:3" x14ac:dyDescent="0.3">
      <c r="A40" s="7" t="s">
        <v>141</v>
      </c>
      <c r="B40" s="10">
        <v>11.2125</v>
      </c>
      <c r="C40" s="10">
        <v>8</v>
      </c>
    </row>
    <row r="41" spans="1:3" x14ac:dyDescent="0.3">
      <c r="A41" s="7" t="s">
        <v>46</v>
      </c>
      <c r="B41" s="10">
        <v>8.0000000000000018</v>
      </c>
      <c r="C41" s="10">
        <v>35</v>
      </c>
    </row>
    <row r="42" spans="1:3" x14ac:dyDescent="0.3">
      <c r="A42" s="7" t="s">
        <v>136</v>
      </c>
      <c r="B42" s="10">
        <v>6.338461538461539</v>
      </c>
      <c r="C42" s="10">
        <v>13</v>
      </c>
    </row>
    <row r="43" spans="1:3" x14ac:dyDescent="0.3">
      <c r="A43" s="7" t="s">
        <v>58</v>
      </c>
      <c r="B43" s="10">
        <v>4.9888888888888889</v>
      </c>
      <c r="C43" s="10">
        <v>9</v>
      </c>
    </row>
    <row r="44" spans="1:3" x14ac:dyDescent="0.3">
      <c r="A44" s="7" t="s">
        <v>60</v>
      </c>
      <c r="B44" s="10">
        <v>5.8239999999999998</v>
      </c>
      <c r="C44" s="10">
        <v>25</v>
      </c>
    </row>
    <row r="45" spans="1:3" x14ac:dyDescent="0.3">
      <c r="A45" s="7" t="s">
        <v>185</v>
      </c>
      <c r="B45" s="10">
        <v>6.92</v>
      </c>
      <c r="C45" s="10">
        <v>5</v>
      </c>
    </row>
    <row r="46" spans="1:3" x14ac:dyDescent="0.3">
      <c r="A46" s="7" t="s">
        <v>86</v>
      </c>
      <c r="B46" s="10">
        <v>10.595000000000002</v>
      </c>
      <c r="C46" s="10">
        <v>40</v>
      </c>
    </row>
    <row r="47" spans="1:3" x14ac:dyDescent="0.3">
      <c r="A47" s="7" t="s">
        <v>12</v>
      </c>
      <c r="B47" s="10">
        <v>8.5400000000000009</v>
      </c>
      <c r="C47" s="10">
        <v>5</v>
      </c>
    </row>
    <row r="48" spans="1:3" x14ac:dyDescent="0.3">
      <c r="A48" s="7" t="s">
        <v>132</v>
      </c>
      <c r="B48" s="10">
        <v>6.94</v>
      </c>
      <c r="C48" s="10">
        <v>5</v>
      </c>
    </row>
    <row r="49" spans="1:3" x14ac:dyDescent="0.3">
      <c r="A49" s="7" t="s">
        <v>138</v>
      </c>
      <c r="B49" s="10">
        <v>3.75</v>
      </c>
      <c r="C49" s="10">
        <v>6</v>
      </c>
    </row>
    <row r="50" spans="1:3" x14ac:dyDescent="0.3">
      <c r="A50" s="7" t="s">
        <v>18</v>
      </c>
      <c r="B50" s="10">
        <v>9.6437499999999989</v>
      </c>
      <c r="C50" s="10">
        <v>48</v>
      </c>
    </row>
    <row r="51" spans="1:3" x14ac:dyDescent="0.3">
      <c r="A51" s="7" t="s">
        <v>165</v>
      </c>
      <c r="B51" s="10">
        <v>4.0222222222222221</v>
      </c>
      <c r="C51" s="10">
        <v>9</v>
      </c>
    </row>
    <row r="52" spans="1:3" x14ac:dyDescent="0.3">
      <c r="A52" s="7" t="s">
        <v>144</v>
      </c>
      <c r="B52" s="10">
        <v>4.0666666666666664</v>
      </c>
      <c r="C52" s="10">
        <v>3</v>
      </c>
    </row>
    <row r="53" spans="1:3" x14ac:dyDescent="0.3">
      <c r="A53" s="7" t="s">
        <v>110</v>
      </c>
      <c r="B53" s="10">
        <v>5.5636363636363635</v>
      </c>
      <c r="C53" s="10">
        <v>11</v>
      </c>
    </row>
    <row r="54" spans="1:3" x14ac:dyDescent="0.3">
      <c r="A54" s="7" t="s">
        <v>97</v>
      </c>
      <c r="B54" s="10">
        <v>8.2714285714285705</v>
      </c>
      <c r="C54" s="10">
        <v>7</v>
      </c>
    </row>
    <row r="55" spans="1:3" x14ac:dyDescent="0.3">
      <c r="A55" s="7" t="s">
        <v>112</v>
      </c>
      <c r="B55" s="10">
        <v>6.65</v>
      </c>
      <c r="C55" s="10">
        <v>10</v>
      </c>
    </row>
    <row r="56" spans="1:3" x14ac:dyDescent="0.3">
      <c r="A56" s="7" t="s">
        <v>94</v>
      </c>
      <c r="B56" s="10">
        <v>14.35</v>
      </c>
      <c r="C56" s="10">
        <v>2</v>
      </c>
    </row>
    <row r="57" spans="1:3" x14ac:dyDescent="0.3">
      <c r="A57" s="7" t="s">
        <v>23</v>
      </c>
      <c r="B57" s="10">
        <v>8.8394736842105264</v>
      </c>
      <c r="C57" s="10">
        <v>38</v>
      </c>
    </row>
    <row r="58" spans="1:3" x14ac:dyDescent="0.3">
      <c r="A58" s="7" t="s">
        <v>27</v>
      </c>
      <c r="B58" s="10">
        <v>5.5333333333333341</v>
      </c>
      <c r="C58" s="10">
        <v>6</v>
      </c>
    </row>
    <row r="59" spans="1:3" x14ac:dyDescent="0.3">
      <c r="A59" s="7" t="s">
        <v>63</v>
      </c>
      <c r="B59" s="10">
        <v>7.6499999999999986</v>
      </c>
      <c r="C59" s="10">
        <v>8</v>
      </c>
    </row>
    <row r="60" spans="1:3" x14ac:dyDescent="0.3">
      <c r="A60" s="7" t="s">
        <v>71</v>
      </c>
      <c r="B60" s="10">
        <v>10.49</v>
      </c>
      <c r="C60" s="10">
        <v>10</v>
      </c>
    </row>
    <row r="61" spans="1:3" x14ac:dyDescent="0.3">
      <c r="A61" s="7" t="s">
        <v>35</v>
      </c>
      <c r="B61" s="10">
        <v>8.09</v>
      </c>
      <c r="C61" s="10">
        <v>10</v>
      </c>
    </row>
    <row r="62" spans="1:3" x14ac:dyDescent="0.3">
      <c r="A62" s="7" t="s">
        <v>76</v>
      </c>
      <c r="B62" s="10">
        <v>4.8</v>
      </c>
      <c r="C62" s="10">
        <v>14</v>
      </c>
    </row>
    <row r="63" spans="1:3" x14ac:dyDescent="0.3">
      <c r="A63" s="7" t="s">
        <v>627</v>
      </c>
      <c r="B63" s="10">
        <v>7.8997999999999937</v>
      </c>
      <c r="C63" s="10">
        <v>500</v>
      </c>
    </row>
    <row r="65" spans="1:2" x14ac:dyDescent="0.3">
      <c r="A65" s="7"/>
    </row>
    <row r="66" spans="1:2" ht="21" x14ac:dyDescent="0.4">
      <c r="A66" s="13" t="s">
        <v>634</v>
      </c>
    </row>
    <row r="68" spans="1:2" x14ac:dyDescent="0.3">
      <c r="A68" s="6" t="s">
        <v>1</v>
      </c>
      <c r="B68" t="s">
        <v>633</v>
      </c>
    </row>
    <row r="69" spans="1:2" x14ac:dyDescent="0.3">
      <c r="A69" s="7" t="s">
        <v>26</v>
      </c>
      <c r="B69" s="10">
        <v>6.3466666666666658</v>
      </c>
    </row>
    <row r="70" spans="1:2" x14ac:dyDescent="0.3">
      <c r="A70" s="7" t="s">
        <v>17</v>
      </c>
      <c r="B70" s="10">
        <v>8.7022058823529402</v>
      </c>
    </row>
    <row r="71" spans="1:2" x14ac:dyDescent="0.3">
      <c r="A71" s="7" t="s">
        <v>30</v>
      </c>
      <c r="B71" s="10">
        <v>8.2412500000000009</v>
      </c>
    </row>
    <row r="72" spans="1:2" x14ac:dyDescent="0.3">
      <c r="A72" s="7" t="s">
        <v>10</v>
      </c>
      <c r="B72" s="10">
        <v>7.5866666666666696</v>
      </c>
    </row>
    <row r="73" spans="1:2" x14ac:dyDescent="0.3">
      <c r="A73" s="7" t="s">
        <v>20</v>
      </c>
      <c r="B73" s="10">
        <v>9.0255102040816322</v>
      </c>
    </row>
    <row r="74" spans="1:2" x14ac:dyDescent="0.3">
      <c r="A74" s="7" t="s">
        <v>131</v>
      </c>
      <c r="B74" s="10">
        <v>8.9312500000000004</v>
      </c>
    </row>
    <row r="75" spans="1:2" x14ac:dyDescent="0.3">
      <c r="A75" s="7" t="s">
        <v>43</v>
      </c>
      <c r="B75" s="10">
        <v>5.2138461538461529</v>
      </c>
    </row>
    <row r="76" spans="1:2" x14ac:dyDescent="0.3">
      <c r="A76" s="7" t="s">
        <v>627</v>
      </c>
      <c r="B76" s="10">
        <v>7.8997999999999937</v>
      </c>
    </row>
    <row r="79" spans="1:2" ht="21" x14ac:dyDescent="0.4">
      <c r="A79" s="13" t="s">
        <v>635</v>
      </c>
    </row>
    <row r="81" spans="1:2" x14ac:dyDescent="0.3">
      <c r="A81" s="6" t="s">
        <v>650</v>
      </c>
      <c r="B81" t="s">
        <v>628</v>
      </c>
    </row>
    <row r="82" spans="1:2" x14ac:dyDescent="0.3">
      <c r="A82" s="7" t="s">
        <v>119</v>
      </c>
      <c r="B82" s="10">
        <v>2</v>
      </c>
    </row>
    <row r="83" spans="1:2" x14ac:dyDescent="0.3">
      <c r="A83" s="7" t="s">
        <v>67</v>
      </c>
      <c r="B83" s="10">
        <v>22</v>
      </c>
    </row>
    <row r="84" spans="1:2" x14ac:dyDescent="0.3">
      <c r="A84" s="7" t="s">
        <v>91</v>
      </c>
      <c r="B84" s="10">
        <v>4</v>
      </c>
    </row>
    <row r="85" spans="1:2" x14ac:dyDescent="0.3">
      <c r="A85" s="7" t="s">
        <v>386</v>
      </c>
      <c r="B85" s="10">
        <v>1</v>
      </c>
    </row>
    <row r="86" spans="1:2" x14ac:dyDescent="0.3">
      <c r="A86" s="7" t="s">
        <v>182</v>
      </c>
      <c r="B86" s="10">
        <v>4</v>
      </c>
    </row>
    <row r="87" spans="1:2" x14ac:dyDescent="0.3">
      <c r="A87" s="7" t="s">
        <v>207</v>
      </c>
      <c r="B87" s="10">
        <v>3</v>
      </c>
    </row>
    <row r="88" spans="1:2" x14ac:dyDescent="0.3">
      <c r="A88" s="7" t="s">
        <v>56</v>
      </c>
      <c r="B88" s="10">
        <v>10</v>
      </c>
    </row>
    <row r="89" spans="1:2" x14ac:dyDescent="0.3">
      <c r="A89" s="7" t="s">
        <v>115</v>
      </c>
      <c r="B89" s="10">
        <v>25</v>
      </c>
    </row>
    <row r="90" spans="1:2" x14ac:dyDescent="0.3">
      <c r="A90" s="7" t="s">
        <v>159</v>
      </c>
      <c r="B90" s="10">
        <v>6</v>
      </c>
    </row>
    <row r="91" spans="1:2" x14ac:dyDescent="0.3">
      <c r="A91" s="7" t="s">
        <v>24</v>
      </c>
      <c r="B91" s="10">
        <v>22</v>
      </c>
    </row>
    <row r="92" spans="1:2" x14ac:dyDescent="0.3">
      <c r="A92" s="7" t="s">
        <v>47</v>
      </c>
      <c r="B92" s="10">
        <v>23</v>
      </c>
    </row>
    <row r="93" spans="1:2" x14ac:dyDescent="0.3">
      <c r="A93" s="7" t="s">
        <v>151</v>
      </c>
      <c r="B93" s="10">
        <v>2</v>
      </c>
    </row>
    <row r="94" spans="1:2" x14ac:dyDescent="0.3">
      <c r="A94" s="7" t="s">
        <v>352</v>
      </c>
      <c r="B94" s="10">
        <v>3</v>
      </c>
    </row>
    <row r="95" spans="1:2" x14ac:dyDescent="0.3">
      <c r="A95" s="7" t="s">
        <v>358</v>
      </c>
      <c r="B95" s="10">
        <v>1</v>
      </c>
    </row>
    <row r="96" spans="1:2" x14ac:dyDescent="0.3">
      <c r="A96" s="7" t="s">
        <v>99</v>
      </c>
      <c r="B96" s="10">
        <v>1</v>
      </c>
    </row>
    <row r="97" spans="1:2" x14ac:dyDescent="0.3">
      <c r="A97" s="7" t="s">
        <v>81</v>
      </c>
      <c r="B97" s="10">
        <v>19</v>
      </c>
    </row>
    <row r="98" spans="1:2" x14ac:dyDescent="0.3">
      <c r="A98" s="7" t="s">
        <v>264</v>
      </c>
      <c r="B98" s="10">
        <v>3</v>
      </c>
    </row>
    <row r="99" spans="1:2" x14ac:dyDescent="0.3">
      <c r="A99" s="7" t="s">
        <v>224</v>
      </c>
      <c r="B99" s="10">
        <v>4</v>
      </c>
    </row>
    <row r="100" spans="1:2" x14ac:dyDescent="0.3">
      <c r="A100" s="7" t="s">
        <v>53</v>
      </c>
      <c r="B100" s="10">
        <v>26</v>
      </c>
    </row>
    <row r="101" spans="1:2" x14ac:dyDescent="0.3">
      <c r="A101" s="7" t="s">
        <v>72</v>
      </c>
      <c r="B101" s="10">
        <v>25</v>
      </c>
    </row>
    <row r="102" spans="1:2" x14ac:dyDescent="0.3">
      <c r="A102" s="7" t="s">
        <v>434</v>
      </c>
      <c r="B102" s="10">
        <v>2</v>
      </c>
    </row>
    <row r="103" spans="1:2" x14ac:dyDescent="0.3">
      <c r="A103" s="7" t="s">
        <v>163</v>
      </c>
      <c r="B103" s="10">
        <v>2</v>
      </c>
    </row>
    <row r="104" spans="1:2" x14ac:dyDescent="0.3">
      <c r="A104" s="7" t="s">
        <v>255</v>
      </c>
      <c r="B104" s="10">
        <v>2</v>
      </c>
    </row>
    <row r="105" spans="1:2" x14ac:dyDescent="0.3">
      <c r="A105" s="7" t="s">
        <v>368</v>
      </c>
      <c r="B105" s="10">
        <v>3</v>
      </c>
    </row>
    <row r="106" spans="1:2" x14ac:dyDescent="0.3">
      <c r="A106" s="7" t="s">
        <v>124</v>
      </c>
      <c r="B106" s="10">
        <v>7</v>
      </c>
    </row>
    <row r="107" spans="1:2" x14ac:dyDescent="0.3">
      <c r="A107" s="7" t="s">
        <v>28</v>
      </c>
      <c r="B107" s="10">
        <v>4</v>
      </c>
    </row>
    <row r="108" spans="1:2" x14ac:dyDescent="0.3">
      <c r="A108" s="7" t="s">
        <v>161</v>
      </c>
      <c r="B108" s="10">
        <v>1</v>
      </c>
    </row>
    <row r="109" spans="1:2" x14ac:dyDescent="0.3">
      <c r="A109" s="7" t="s">
        <v>95</v>
      </c>
      <c r="B109" s="10">
        <v>4</v>
      </c>
    </row>
    <row r="110" spans="1:2" x14ac:dyDescent="0.3">
      <c r="A110" s="7" t="s">
        <v>33</v>
      </c>
      <c r="B110" s="10">
        <v>175</v>
      </c>
    </row>
    <row r="111" spans="1:2" x14ac:dyDescent="0.3">
      <c r="A111" s="7" t="s">
        <v>344</v>
      </c>
      <c r="B111" s="10">
        <v>3</v>
      </c>
    </row>
    <row r="112" spans="1:2" x14ac:dyDescent="0.3">
      <c r="A112" s="7" t="s">
        <v>142</v>
      </c>
      <c r="B112" s="10">
        <v>7</v>
      </c>
    </row>
    <row r="113" spans="1:2" x14ac:dyDescent="0.3">
      <c r="A113" s="7" t="s">
        <v>496</v>
      </c>
      <c r="B113" s="10">
        <v>1</v>
      </c>
    </row>
    <row r="114" spans="1:2" x14ac:dyDescent="0.3">
      <c r="A114" s="7" t="s">
        <v>36</v>
      </c>
      <c r="B114" s="10">
        <v>6</v>
      </c>
    </row>
    <row r="115" spans="1:2" x14ac:dyDescent="0.3">
      <c r="A115" s="7" t="s">
        <v>484</v>
      </c>
      <c r="B115" s="10">
        <v>3</v>
      </c>
    </row>
    <row r="116" spans="1:2" x14ac:dyDescent="0.3">
      <c r="A116" s="7" t="s">
        <v>14</v>
      </c>
      <c r="B116" s="10">
        <v>8</v>
      </c>
    </row>
    <row r="117" spans="1:2" x14ac:dyDescent="0.3">
      <c r="A117" s="7" t="s">
        <v>313</v>
      </c>
      <c r="B117" s="10">
        <v>1</v>
      </c>
    </row>
    <row r="118" spans="1:2" x14ac:dyDescent="0.3">
      <c r="A118" s="7" t="s">
        <v>104</v>
      </c>
      <c r="B118" s="10">
        <v>4</v>
      </c>
    </row>
    <row r="119" spans="1:2" x14ac:dyDescent="0.3">
      <c r="A119" s="7" t="s">
        <v>61</v>
      </c>
      <c r="B119" s="10">
        <v>3</v>
      </c>
    </row>
    <row r="120" spans="1:2" x14ac:dyDescent="0.3">
      <c r="A120" s="7" t="s">
        <v>128</v>
      </c>
      <c r="B120" s="10">
        <v>5</v>
      </c>
    </row>
    <row r="121" spans="1:2" x14ac:dyDescent="0.3">
      <c r="A121" s="7" t="s">
        <v>41</v>
      </c>
      <c r="B121" s="10">
        <v>5</v>
      </c>
    </row>
    <row r="122" spans="1:2" x14ac:dyDescent="0.3">
      <c r="A122" s="7" t="s">
        <v>195</v>
      </c>
      <c r="B122" s="10">
        <v>3</v>
      </c>
    </row>
    <row r="123" spans="1:2" x14ac:dyDescent="0.3">
      <c r="A123" s="7" t="s">
        <v>51</v>
      </c>
      <c r="B123" s="10">
        <v>20</v>
      </c>
    </row>
    <row r="124" spans="1:2" x14ac:dyDescent="0.3">
      <c r="A124" s="7" t="s">
        <v>89</v>
      </c>
      <c r="B124" s="10">
        <v>7</v>
      </c>
    </row>
    <row r="125" spans="1:2" x14ac:dyDescent="0.3">
      <c r="A125" s="7" t="s">
        <v>64</v>
      </c>
      <c r="B125" s="10">
        <v>2</v>
      </c>
    </row>
    <row r="126" spans="1:2" x14ac:dyDescent="0.3">
      <c r="A126" s="7" t="s">
        <v>19</v>
      </c>
      <c r="B126" s="10">
        <v>16</v>
      </c>
    </row>
    <row r="127" spans="1:2" x14ac:dyDescent="0.3">
      <c r="A127" s="7" t="s">
        <v>627</v>
      </c>
      <c r="B127" s="10">
        <v>500</v>
      </c>
    </row>
    <row r="130" spans="1:3" ht="21" x14ac:dyDescent="0.4">
      <c r="A130" s="13" t="s">
        <v>636</v>
      </c>
    </row>
    <row r="132" spans="1:3" x14ac:dyDescent="0.3">
      <c r="A132" s="6" t="s">
        <v>8</v>
      </c>
      <c r="B132" t="s">
        <v>628</v>
      </c>
      <c r="C132" t="s">
        <v>633</v>
      </c>
    </row>
    <row r="133" spans="1:3" x14ac:dyDescent="0.3">
      <c r="A133" s="7" t="s">
        <v>309</v>
      </c>
      <c r="B133" s="10">
        <v>7</v>
      </c>
      <c r="C133" s="10">
        <v>15.200000000000001</v>
      </c>
    </row>
    <row r="134" spans="1:3" x14ac:dyDescent="0.3">
      <c r="A134" s="7" t="s">
        <v>26</v>
      </c>
      <c r="B134" s="10">
        <v>20</v>
      </c>
      <c r="C134" s="10">
        <v>9.19</v>
      </c>
    </row>
    <row r="135" spans="1:3" x14ac:dyDescent="0.3">
      <c r="A135" s="7" t="s">
        <v>65</v>
      </c>
      <c r="B135" s="10">
        <v>14</v>
      </c>
      <c r="C135" s="10">
        <v>11</v>
      </c>
    </row>
    <row r="136" spans="1:3" x14ac:dyDescent="0.3">
      <c r="A136" s="7" t="s">
        <v>15</v>
      </c>
      <c r="B136" s="10">
        <v>33</v>
      </c>
      <c r="C136" s="10">
        <v>11.30606060606061</v>
      </c>
    </row>
    <row r="137" spans="1:3" x14ac:dyDescent="0.3">
      <c r="A137" s="7" t="s">
        <v>37</v>
      </c>
      <c r="B137" s="10">
        <v>35</v>
      </c>
      <c r="C137" s="10">
        <v>12.717142857142855</v>
      </c>
    </row>
    <row r="138" spans="1:3" x14ac:dyDescent="0.3">
      <c r="A138" s="7" t="s">
        <v>20</v>
      </c>
      <c r="B138" s="10">
        <v>192</v>
      </c>
      <c r="C138" s="10">
        <v>12.717708333333327</v>
      </c>
    </row>
    <row r="139" spans="1:3" x14ac:dyDescent="0.3">
      <c r="A139" s="7" t="s">
        <v>43</v>
      </c>
      <c r="B139" s="10">
        <v>24</v>
      </c>
      <c r="C139" s="10">
        <v>10.237499999999999</v>
      </c>
    </row>
    <row r="140" spans="1:3" x14ac:dyDescent="0.3">
      <c r="A140" s="7" t="s">
        <v>33</v>
      </c>
      <c r="B140" s="10">
        <v>175</v>
      </c>
      <c r="C140" s="10">
        <v>0</v>
      </c>
    </row>
    <row r="141" spans="1:3" x14ac:dyDescent="0.3">
      <c r="A141" s="7" t="s">
        <v>627</v>
      </c>
      <c r="B141" s="10">
        <v>500</v>
      </c>
      <c r="C141" s="10">
        <v>7.8997999999999937</v>
      </c>
    </row>
    <row r="144" spans="1:3" ht="21" x14ac:dyDescent="0.4">
      <c r="A144" s="13" t="s">
        <v>637</v>
      </c>
    </row>
    <row r="146" spans="1:4" x14ac:dyDescent="0.3">
      <c r="A146" s="6" t="s">
        <v>618</v>
      </c>
      <c r="B146" t="s">
        <v>628</v>
      </c>
      <c r="C146" t="s">
        <v>629</v>
      </c>
      <c r="D146" t="s">
        <v>651</v>
      </c>
    </row>
    <row r="147" spans="1:4" x14ac:dyDescent="0.3">
      <c r="A147" s="7" t="s">
        <v>642</v>
      </c>
      <c r="B147" s="10">
        <v>105</v>
      </c>
      <c r="C147" s="10">
        <v>68</v>
      </c>
      <c r="D147" s="4">
        <f>C147/B147</f>
        <v>0.64761904761904765</v>
      </c>
    </row>
    <row r="148" spans="1:4" x14ac:dyDescent="0.3">
      <c r="A148" s="7" t="s">
        <v>643</v>
      </c>
      <c r="B148" s="10">
        <v>112</v>
      </c>
      <c r="C148" s="10">
        <v>86</v>
      </c>
      <c r="D148" s="4">
        <f t="shared" ref="D148:D151" si="2">C148/B148</f>
        <v>0.7678571428571429</v>
      </c>
    </row>
    <row r="149" spans="1:4" x14ac:dyDescent="0.3">
      <c r="A149" s="7" t="s">
        <v>644</v>
      </c>
      <c r="B149" s="10">
        <v>98</v>
      </c>
      <c r="C149" s="10">
        <v>71</v>
      </c>
      <c r="D149" s="4">
        <f t="shared" si="2"/>
        <v>0.72448979591836737</v>
      </c>
    </row>
    <row r="150" spans="1:4" x14ac:dyDescent="0.3">
      <c r="A150" s="7" t="s">
        <v>645</v>
      </c>
      <c r="B150" s="10">
        <v>185</v>
      </c>
      <c r="C150" s="10">
        <v>100</v>
      </c>
      <c r="D150" s="4">
        <f t="shared" si="2"/>
        <v>0.54054054054054057</v>
      </c>
    </row>
    <row r="151" spans="1:4" x14ac:dyDescent="0.3">
      <c r="A151" s="7" t="s">
        <v>627</v>
      </c>
      <c r="B151" s="10">
        <v>500</v>
      </c>
      <c r="C151" s="10">
        <v>325</v>
      </c>
      <c r="D151" s="4">
        <f t="shared" si="2"/>
        <v>0.65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1C56-A742-4DA2-977B-140C0652BAE9}">
  <dimension ref="A1:D163"/>
  <sheetViews>
    <sheetView topLeftCell="A76" zoomScale="45" zoomScaleNormal="55" workbookViewId="0">
      <selection activeCell="B62" sqref="B62"/>
    </sheetView>
  </sheetViews>
  <sheetFormatPr defaultRowHeight="14.4" x14ac:dyDescent="0.3"/>
  <cols>
    <col min="1" max="1" width="26.33203125" bestFit="1" customWidth="1"/>
    <col min="2" max="2" width="25.77734375" bestFit="1" customWidth="1"/>
    <col min="3" max="3" width="24.6640625" bestFit="1" customWidth="1"/>
    <col min="4" max="4" width="11" bestFit="1" customWidth="1"/>
    <col min="6" max="6" width="16.6640625" bestFit="1" customWidth="1"/>
    <col min="7" max="7" width="22.109375" bestFit="1" customWidth="1"/>
    <col min="8" max="8" width="18.44140625" bestFit="1" customWidth="1"/>
  </cols>
  <sheetData>
    <row r="1" spans="1:4" x14ac:dyDescent="0.3">
      <c r="A1" s="9" t="s">
        <v>646</v>
      </c>
      <c r="B1" s="9" t="s">
        <v>623</v>
      </c>
    </row>
    <row r="2" spans="1:4" x14ac:dyDescent="0.3">
      <c r="A2" t="str">
        <f>PivotSheets!A4</f>
        <v>Civil</v>
      </c>
      <c r="B2" s="8">
        <f>PivotSheets!D4</f>
        <v>0.66666666666666663</v>
      </c>
      <c r="D2" s="4"/>
    </row>
    <row r="3" spans="1:4" x14ac:dyDescent="0.3">
      <c r="A3" t="str">
        <f>PivotSheets!A5</f>
        <v>CSE</v>
      </c>
      <c r="B3" s="8">
        <f>PivotSheets!D5</f>
        <v>0.69117647058823528</v>
      </c>
      <c r="D3" s="4"/>
    </row>
    <row r="4" spans="1:4" x14ac:dyDescent="0.3">
      <c r="A4" t="str">
        <f>PivotSheets!A6</f>
        <v>ECE</v>
      </c>
      <c r="B4" s="8">
        <f>PivotSheets!D6</f>
        <v>0.65</v>
      </c>
      <c r="D4" s="4"/>
    </row>
    <row r="5" spans="1:4" x14ac:dyDescent="0.3">
      <c r="A5" t="str">
        <f>PivotSheets!A7</f>
        <v>EE</v>
      </c>
      <c r="B5" s="8">
        <f>PivotSheets!D7</f>
        <v>0.65</v>
      </c>
      <c r="D5" s="4"/>
    </row>
    <row r="6" spans="1:4" x14ac:dyDescent="0.3">
      <c r="A6" t="str">
        <f>PivotSheets!A8</f>
        <v>IT</v>
      </c>
      <c r="B6" s="8">
        <f>PivotSheets!D8</f>
        <v>0.69387755102040816</v>
      </c>
      <c r="D6" s="4"/>
    </row>
    <row r="7" spans="1:4" x14ac:dyDescent="0.3">
      <c r="A7" t="str">
        <f>PivotSheets!A9</f>
        <v>MBA</v>
      </c>
      <c r="B7" s="8">
        <f>PivotSheets!D9</f>
        <v>0.625</v>
      </c>
      <c r="D7" s="4"/>
    </row>
    <row r="8" spans="1:4" x14ac:dyDescent="0.3">
      <c r="A8" t="str">
        <f>PivotSheets!A10</f>
        <v>Mechanical</v>
      </c>
      <c r="B8" s="8">
        <f>PivotSheets!D10</f>
        <v>0.49230769230769234</v>
      </c>
      <c r="D8" s="4"/>
    </row>
    <row r="11" spans="1:4" x14ac:dyDescent="0.3">
      <c r="A11" s="7"/>
      <c r="B11" s="4"/>
    </row>
    <row r="15" spans="1:4" x14ac:dyDescent="0.3">
      <c r="A15" s="9" t="s">
        <v>4</v>
      </c>
      <c r="B15" s="9" t="s">
        <v>639</v>
      </c>
    </row>
    <row r="16" spans="1:4" x14ac:dyDescent="0.3">
      <c r="A16" t="str">
        <f>PivotSheets!A27</f>
        <v>AutoCAD</v>
      </c>
      <c r="B16" s="11">
        <f>PivotSheets!B27</f>
        <v>3.4000000000000004</v>
      </c>
    </row>
    <row r="17" spans="1:2" x14ac:dyDescent="0.3">
      <c r="A17" t="str">
        <f>PivotSheets!A49</f>
        <v>Project Planning</v>
      </c>
      <c r="B17" s="11">
        <f>PivotSheets!B49</f>
        <v>3.75</v>
      </c>
    </row>
    <row r="18" spans="1:2" x14ac:dyDescent="0.3">
      <c r="A18" t="str">
        <f>PivotSheets!A51</f>
        <v>Quality Control</v>
      </c>
      <c r="B18" s="11">
        <f>PivotSheets!B51</f>
        <v>4.0222222222222221</v>
      </c>
    </row>
    <row r="19" spans="1:2" x14ac:dyDescent="0.3">
      <c r="A19" t="str">
        <f>PivotSheets!A52</f>
        <v>Quantity Surveying</v>
      </c>
      <c r="B19" s="11">
        <f>PivotSheets!B52</f>
        <v>4.0666666666666664</v>
      </c>
    </row>
    <row r="20" spans="1:2" x14ac:dyDescent="0.3">
      <c r="A20" t="str">
        <f>PivotSheets!A39</f>
        <v>HR Analytics</v>
      </c>
      <c r="B20" s="11">
        <f>PivotSheets!B39</f>
        <v>4.5</v>
      </c>
    </row>
    <row r="21" spans="1:2" x14ac:dyDescent="0.3">
      <c r="A21" t="str">
        <f>PivotSheets!A62</f>
        <v>Web Development</v>
      </c>
      <c r="B21" s="11">
        <f>PivotSheets!B62</f>
        <v>4.8</v>
      </c>
    </row>
    <row r="22" spans="1:2" x14ac:dyDescent="0.3">
      <c r="A22" t="str">
        <f>PivotSheets!A43</f>
        <v>Manufacturing</v>
      </c>
      <c r="B22" s="11">
        <f>PivotSheets!B43</f>
        <v>4.9888888888888889</v>
      </c>
    </row>
    <row r="23" spans="1:2" x14ac:dyDescent="0.3">
      <c r="A23" t="str">
        <f>PivotSheets!A28</f>
        <v>AutoCAD Electrical</v>
      </c>
      <c r="B23" s="11">
        <f>PivotSheets!B28</f>
        <v>5.35</v>
      </c>
    </row>
    <row r="24" spans="1:2" x14ac:dyDescent="0.3">
      <c r="A24" t="str">
        <f>PivotSheets!A58</f>
        <v>STAAD Pro</v>
      </c>
      <c r="B24" s="11">
        <f>PivotSheets!B58</f>
        <v>5.5333333333333341</v>
      </c>
    </row>
    <row r="25" spans="1:2" x14ac:dyDescent="0.3">
      <c r="A25" t="str">
        <f>PivotSheets!A53</f>
        <v>Renewable Energy</v>
      </c>
      <c r="B25" s="11">
        <f>PivotSheets!B53</f>
        <v>5.5636363636363635</v>
      </c>
    </row>
    <row r="26" spans="1:2" x14ac:dyDescent="0.3">
      <c r="A26" t="str">
        <f>PivotSheets!A26</f>
        <v>ANSYS</v>
      </c>
      <c r="B26" s="11">
        <f>PivotSheets!B26</f>
        <v>5.6352941176470583</v>
      </c>
    </row>
    <row r="27" spans="1:2" x14ac:dyDescent="0.3">
      <c r="A27" t="str">
        <f>PivotSheets!A44</f>
        <v>MATLAB</v>
      </c>
      <c r="B27" s="11">
        <f>PivotSheets!B44</f>
        <v>5.8239999999999998</v>
      </c>
    </row>
    <row r="28" spans="1:2" x14ac:dyDescent="0.3">
      <c r="A28" t="str">
        <f>PivotSheets!A29</f>
        <v>Business Analytics</v>
      </c>
      <c r="B28" s="11">
        <f>PivotSheets!B29</f>
        <v>6.1</v>
      </c>
    </row>
    <row r="29" spans="1:2" x14ac:dyDescent="0.3">
      <c r="A29" t="str">
        <f>PivotSheets!A42</f>
        <v>Machine Learning</v>
      </c>
      <c r="B29" s="11">
        <f>PivotSheets!B42</f>
        <v>6.338461538461539</v>
      </c>
    </row>
    <row r="30" spans="1:2" x14ac:dyDescent="0.3">
      <c r="A30" t="str">
        <f>PivotSheets!A34</f>
        <v>Digital Electronics</v>
      </c>
      <c r="B30" s="11">
        <f>PivotSheets!B34</f>
        <v>6.375</v>
      </c>
    </row>
    <row r="31" spans="1:2" x14ac:dyDescent="0.3">
      <c r="A31" t="str">
        <f>PivotSheets!A55</f>
        <v>SCADA</v>
      </c>
      <c r="B31" s="11">
        <f>PivotSheets!B55</f>
        <v>6.65</v>
      </c>
    </row>
    <row r="32" spans="1:2" x14ac:dyDescent="0.3">
      <c r="A32" t="str">
        <f>PivotSheets!A45</f>
        <v>PLC</v>
      </c>
      <c r="B32" s="11">
        <f>PivotSheets!B45</f>
        <v>6.92</v>
      </c>
    </row>
    <row r="33" spans="1:2" x14ac:dyDescent="0.3">
      <c r="A33" t="str">
        <f>PivotSheets!A48</f>
        <v>Presentation Skills</v>
      </c>
      <c r="B33" s="11">
        <f>PivotSheets!B48</f>
        <v>6.94</v>
      </c>
    </row>
    <row r="34" spans="1:2" x14ac:dyDescent="0.3">
      <c r="A34" t="str">
        <f>PivotSheets!A32</f>
        <v>Cloud Basics</v>
      </c>
      <c r="B34" s="11">
        <f>PivotSheets!B32</f>
        <v>7.536363636363637</v>
      </c>
    </row>
    <row r="35" spans="1:2" x14ac:dyDescent="0.3">
      <c r="A35" t="str">
        <f>PivotSheets!A59</f>
        <v>Surveying</v>
      </c>
      <c r="B35" s="11">
        <f>PivotSheets!B59</f>
        <v>7.6499999999999986</v>
      </c>
    </row>
    <row r="36" spans="1:2" x14ac:dyDescent="0.3">
      <c r="A36" t="str">
        <f>PivotSheets!A31</f>
        <v>CATIA</v>
      </c>
      <c r="B36" s="11">
        <f>PivotSheets!B31</f>
        <v>7.7</v>
      </c>
    </row>
    <row r="37" spans="1:2" x14ac:dyDescent="0.3">
      <c r="A37" t="str">
        <f>PivotSheets!A37</f>
        <v>Excel</v>
      </c>
      <c r="B37" s="11">
        <f>PivotSheets!B37</f>
        <v>7.7546875000000011</v>
      </c>
    </row>
    <row r="38" spans="1:2" x14ac:dyDescent="0.3">
      <c r="A38" t="str">
        <f>PivotSheets!A41</f>
        <v>Java</v>
      </c>
      <c r="B38" s="11">
        <f>PivotSheets!B41</f>
        <v>8.0000000000000018</v>
      </c>
    </row>
    <row r="39" spans="1:2" x14ac:dyDescent="0.3">
      <c r="A39" t="str">
        <f>PivotSheets!A61</f>
        <v>VLSI</v>
      </c>
      <c r="B39" s="11">
        <f>PivotSheets!B61</f>
        <v>8.09</v>
      </c>
    </row>
    <row r="40" spans="1:2" x14ac:dyDescent="0.3">
      <c r="A40" t="str">
        <f>PivotSheets!A36</f>
        <v>Estimation</v>
      </c>
      <c r="B40" s="11">
        <f>PivotSheets!B36</f>
        <v>8.1</v>
      </c>
    </row>
    <row r="41" spans="1:2" x14ac:dyDescent="0.3">
      <c r="A41" t="str">
        <f>PivotSheets!A30</f>
        <v>C</v>
      </c>
      <c r="B41" s="11">
        <f>PivotSheets!B30</f>
        <v>8.1142857142857139</v>
      </c>
    </row>
    <row r="42" spans="1:2" x14ac:dyDescent="0.3">
      <c r="A42" t="str">
        <f>PivotSheets!A54</f>
        <v>Revit</v>
      </c>
      <c r="B42" s="11">
        <f>PivotSheets!B54</f>
        <v>8.2714285714285705</v>
      </c>
    </row>
    <row r="43" spans="1:2" x14ac:dyDescent="0.3">
      <c r="A43" t="str">
        <f>PivotSheets!A47</f>
        <v>Power Systems</v>
      </c>
      <c r="B43" s="11">
        <f>PivotSheets!B47</f>
        <v>8.5400000000000009</v>
      </c>
    </row>
    <row r="44" spans="1:2" x14ac:dyDescent="0.3">
      <c r="A44" t="str">
        <f>PivotSheets!A57</f>
        <v>SQL</v>
      </c>
      <c r="B44" s="11">
        <f>PivotSheets!B57</f>
        <v>8.8394736842105264</v>
      </c>
    </row>
    <row r="45" spans="1:2" x14ac:dyDescent="0.3">
      <c r="A45" t="str">
        <f>PivotSheets!A50</f>
        <v>Python</v>
      </c>
      <c r="B45" s="11">
        <f>PivotSheets!B50</f>
        <v>9.6437499999999989</v>
      </c>
    </row>
    <row r="46" spans="1:2" x14ac:dyDescent="0.3">
      <c r="A46" t="str">
        <f>PivotSheets!A33</f>
        <v>Data Analytics</v>
      </c>
      <c r="B46" s="11">
        <f>PivotSheets!B33</f>
        <v>9.6444444444444457</v>
      </c>
    </row>
    <row r="47" spans="1:2" x14ac:dyDescent="0.3">
      <c r="A47" t="str">
        <f>PivotSheets!A60</f>
        <v>Testing</v>
      </c>
      <c r="B47" s="11">
        <f>PivotSheets!B60</f>
        <v>10.49</v>
      </c>
    </row>
    <row r="48" spans="1:2" x14ac:dyDescent="0.3">
      <c r="A48" t="str">
        <f>PivotSheets!A46</f>
        <v>Power BI</v>
      </c>
      <c r="B48" s="11">
        <f>PivotSheets!B46</f>
        <v>10.595000000000002</v>
      </c>
    </row>
    <row r="49" spans="1:2" x14ac:dyDescent="0.3">
      <c r="A49" t="str">
        <f>PivotSheets!A40</f>
        <v>IoT</v>
      </c>
      <c r="B49" s="11">
        <f>PivotSheets!B40</f>
        <v>11.2125</v>
      </c>
    </row>
    <row r="50" spans="1:2" x14ac:dyDescent="0.3">
      <c r="A50" t="str">
        <f>PivotSheets!A35</f>
        <v>Embedded Systems</v>
      </c>
      <c r="B50" s="11">
        <f>PivotSheets!B35</f>
        <v>11.8</v>
      </c>
    </row>
    <row r="51" spans="1:2" x14ac:dyDescent="0.3">
      <c r="A51" t="str">
        <f>PivotSheets!A56</f>
        <v>SolidWorks</v>
      </c>
      <c r="B51" s="11">
        <f>PivotSheets!B56</f>
        <v>14.35</v>
      </c>
    </row>
    <row r="52" spans="1:2" x14ac:dyDescent="0.3">
      <c r="A52" t="str">
        <f>PivotSheets!A38</f>
        <v>Finance</v>
      </c>
      <c r="B52" s="11">
        <f>PivotSheets!B38</f>
        <v>24.4</v>
      </c>
    </row>
    <row r="55" spans="1:2" x14ac:dyDescent="0.3">
      <c r="A55" s="6" t="s">
        <v>647</v>
      </c>
      <c r="B55" t="s">
        <v>628</v>
      </c>
    </row>
    <row r="56" spans="1:2" x14ac:dyDescent="0.3">
      <c r="A56" s="7" t="s">
        <v>32</v>
      </c>
      <c r="B56" s="10">
        <v>175</v>
      </c>
    </row>
    <row r="57" spans="1:2" x14ac:dyDescent="0.3">
      <c r="A57" s="7" t="s">
        <v>13</v>
      </c>
      <c r="B57" s="10">
        <v>325</v>
      </c>
    </row>
    <row r="58" spans="1:2" x14ac:dyDescent="0.3">
      <c r="A58" s="7" t="s">
        <v>627</v>
      </c>
      <c r="B58" s="10">
        <v>500</v>
      </c>
    </row>
    <row r="69" spans="1:2" x14ac:dyDescent="0.3">
      <c r="A69" t="s">
        <v>3</v>
      </c>
      <c r="B69" t="s">
        <v>623</v>
      </c>
    </row>
    <row r="70" spans="1:2" x14ac:dyDescent="0.3">
      <c r="A70" t="str">
        <f>PivotSheets!A18</f>
        <v>No</v>
      </c>
      <c r="B70" s="4">
        <f>PivotSheets!D18</f>
        <v>0.55769230769230771</v>
      </c>
    </row>
    <row r="71" spans="1:2" x14ac:dyDescent="0.3">
      <c r="A71" t="str">
        <f>PivotSheets!A19</f>
        <v>Yes</v>
      </c>
      <c r="B71" s="4">
        <f>PivotSheets!D19</f>
        <v>0.71575342465753422</v>
      </c>
    </row>
    <row r="88" spans="1:2" x14ac:dyDescent="0.3">
      <c r="A88" t="s">
        <v>7</v>
      </c>
      <c r="B88" t="s">
        <v>641</v>
      </c>
    </row>
    <row r="89" spans="1:2" x14ac:dyDescent="0.3">
      <c r="A89" t="str">
        <f>PivotSheets!A100</f>
        <v>IBM</v>
      </c>
      <c r="B89">
        <f>PivotSheets!B100</f>
        <v>26</v>
      </c>
    </row>
    <row r="90" spans="1:2" x14ac:dyDescent="0.3">
      <c r="A90" t="str">
        <f>PivotSheets!A89</f>
        <v>Capgemini</v>
      </c>
      <c r="B90">
        <f>PivotSheets!B89</f>
        <v>25</v>
      </c>
    </row>
    <row r="91" spans="1:2" x14ac:dyDescent="0.3">
      <c r="A91" t="str">
        <f>PivotSheets!A101</f>
        <v>Infosys</v>
      </c>
      <c r="B91">
        <f>PivotSheets!B101</f>
        <v>25</v>
      </c>
    </row>
    <row r="92" spans="1:2" x14ac:dyDescent="0.3">
      <c r="A92" t="str">
        <f>PivotSheets!A92</f>
        <v>Deloitte</v>
      </c>
      <c r="B92">
        <f>PivotSheets!B92</f>
        <v>23</v>
      </c>
    </row>
    <row r="93" spans="1:2" x14ac:dyDescent="0.3">
      <c r="A93" t="str">
        <f>PivotSheets!A83</f>
        <v>Accenture</v>
      </c>
      <c r="B93">
        <f>PivotSheets!B83</f>
        <v>22</v>
      </c>
    </row>
    <row r="94" spans="1:2" x14ac:dyDescent="0.3">
      <c r="A94" t="str">
        <f>PivotSheets!A91</f>
        <v>Cognizant</v>
      </c>
      <c r="B94">
        <f>PivotSheets!B91</f>
        <v>22</v>
      </c>
    </row>
    <row r="95" spans="1:2" x14ac:dyDescent="0.3">
      <c r="A95" t="str">
        <f>PivotSheets!A123</f>
        <v>TCS</v>
      </c>
      <c r="B95">
        <f>PivotSheets!B123</f>
        <v>20</v>
      </c>
    </row>
    <row r="96" spans="1:2" x14ac:dyDescent="0.3">
      <c r="A96" t="str">
        <f>PivotSheets!A97</f>
        <v>HCL</v>
      </c>
      <c r="B96">
        <f>PivotSheets!B97</f>
        <v>19</v>
      </c>
    </row>
    <row r="97" spans="1:2" x14ac:dyDescent="0.3">
      <c r="A97" t="str">
        <f>PivotSheets!A126</f>
        <v>Wipro</v>
      </c>
      <c r="B97">
        <f>PivotSheets!B126</f>
        <v>16</v>
      </c>
    </row>
    <row r="98" spans="1:2" x14ac:dyDescent="0.3">
      <c r="A98" t="str">
        <f>PivotSheets!A88</f>
        <v>Bosch</v>
      </c>
      <c r="B98">
        <f>PivotSheets!B88</f>
        <v>10</v>
      </c>
    </row>
    <row r="99" spans="1:2" x14ac:dyDescent="0.3">
      <c r="A99" t="str">
        <f>PivotSheets!A116</f>
        <v>Schneider Electric</v>
      </c>
      <c r="B99">
        <f>PivotSheets!B116</f>
        <v>8</v>
      </c>
    </row>
    <row r="100" spans="1:2" x14ac:dyDescent="0.3">
      <c r="A100" t="str">
        <f>PivotSheets!A106</f>
        <v>L&amp;T</v>
      </c>
      <c r="B100">
        <f>PivotSheets!B106</f>
        <v>7</v>
      </c>
    </row>
    <row r="101" spans="1:2" x14ac:dyDescent="0.3">
      <c r="A101" t="str">
        <f>PivotSheets!A112</f>
        <v>NXP</v>
      </c>
      <c r="B101">
        <f>PivotSheets!B112</f>
        <v>7</v>
      </c>
    </row>
    <row r="102" spans="1:2" x14ac:dyDescent="0.3">
      <c r="A102" t="str">
        <f>PivotSheets!A124</f>
        <v>Texas Instruments</v>
      </c>
      <c r="B102">
        <f>PivotSheets!B124</f>
        <v>7</v>
      </c>
    </row>
    <row r="103" spans="1:2" x14ac:dyDescent="0.3">
      <c r="A103" t="str">
        <f>PivotSheets!A90</f>
        <v>CG Power</v>
      </c>
      <c r="B103">
        <f>PivotSheets!B90</f>
        <v>6</v>
      </c>
    </row>
    <row r="104" spans="1:2" x14ac:dyDescent="0.3">
      <c r="A104" t="str">
        <f>PivotSheets!A114</f>
        <v>Qualcomm</v>
      </c>
      <c r="B104">
        <f>PivotSheets!B114</f>
        <v>6</v>
      </c>
    </row>
    <row r="105" spans="1:2" x14ac:dyDescent="0.3">
      <c r="A105" t="str">
        <f>PivotSheets!A120</f>
        <v>Tata Motors</v>
      </c>
      <c r="B105">
        <f>PivotSheets!B120</f>
        <v>5</v>
      </c>
    </row>
    <row r="106" spans="1:2" x14ac:dyDescent="0.3">
      <c r="A106" t="str">
        <f>PivotSheets!A121</f>
        <v>Tata Power</v>
      </c>
      <c r="B106">
        <f>PivotSheets!B121</f>
        <v>5</v>
      </c>
    </row>
    <row r="107" spans="1:2" x14ac:dyDescent="0.3">
      <c r="A107" t="str">
        <f>PivotSheets!A84</f>
        <v>Afcons</v>
      </c>
      <c r="B107">
        <f>PivotSheets!B84</f>
        <v>4</v>
      </c>
    </row>
    <row r="108" spans="1:2" x14ac:dyDescent="0.3">
      <c r="A108" t="str">
        <f>PivotSheets!A86</f>
        <v>Ashok Leyland</v>
      </c>
      <c r="B108">
        <f>PivotSheets!B86</f>
        <v>4</v>
      </c>
    </row>
    <row r="109" spans="1:2" x14ac:dyDescent="0.3">
      <c r="A109" t="str">
        <f>PivotSheets!A99</f>
        <v>Honeywell</v>
      </c>
      <c r="B109">
        <f>PivotSheets!B99</f>
        <v>4</v>
      </c>
    </row>
    <row r="110" spans="1:2" x14ac:dyDescent="0.3">
      <c r="A110" t="str">
        <f>PivotSheets!A107</f>
        <v>L&amp;T Construction</v>
      </c>
      <c r="B110">
        <f>PivotSheets!B107</f>
        <v>4</v>
      </c>
    </row>
    <row r="111" spans="1:2" x14ac:dyDescent="0.3">
      <c r="A111" t="str">
        <f>PivotSheets!A109</f>
        <v>Maruti Suzuki</v>
      </c>
      <c r="B111">
        <f>PivotSheets!B109</f>
        <v>4</v>
      </c>
    </row>
    <row r="112" spans="1:2" x14ac:dyDescent="0.3">
      <c r="A112" t="str">
        <f>PivotSheets!A118</f>
        <v>Siemens</v>
      </c>
      <c r="B112">
        <f>PivotSheets!B118</f>
        <v>4</v>
      </c>
    </row>
    <row r="113" spans="1:2" x14ac:dyDescent="0.3">
      <c r="A113" t="str">
        <f>PivotSheets!A87</f>
        <v>Bajaj Auto</v>
      </c>
      <c r="B113">
        <f>PivotSheets!B87</f>
        <v>3</v>
      </c>
    </row>
    <row r="114" spans="1:2" x14ac:dyDescent="0.3">
      <c r="A114" t="str">
        <f>PivotSheets!A94</f>
        <v>Eaton</v>
      </c>
      <c r="B114">
        <f>PivotSheets!B94</f>
        <v>3</v>
      </c>
    </row>
    <row r="115" spans="1:2" x14ac:dyDescent="0.3">
      <c r="A115" t="str">
        <f>PivotSheets!A98</f>
        <v>Hero MotoCorp</v>
      </c>
      <c r="B115">
        <f>PivotSheets!B98</f>
        <v>3</v>
      </c>
    </row>
    <row r="116" spans="1:2" x14ac:dyDescent="0.3">
      <c r="A116" t="str">
        <f>PivotSheets!A105</f>
        <v>KPMG</v>
      </c>
      <c r="B116">
        <f>PivotSheets!B105</f>
        <v>3</v>
      </c>
    </row>
    <row r="117" spans="1:2" hidden="1" x14ac:dyDescent="0.3">
      <c r="A117" t="str">
        <f>PivotSheets!A110</f>
        <v>NA</v>
      </c>
      <c r="B117">
        <f>PivotSheets!B110</f>
        <v>175</v>
      </c>
    </row>
    <row r="118" spans="1:2" x14ac:dyDescent="0.3">
      <c r="A118" t="str">
        <f>PivotSheets!A111</f>
        <v>NCC</v>
      </c>
      <c r="B118">
        <f>PivotSheets!B111</f>
        <v>3</v>
      </c>
    </row>
    <row r="119" spans="1:2" x14ac:dyDescent="0.3">
      <c r="A119" t="str">
        <f>PivotSheets!A115</f>
        <v>Samsung</v>
      </c>
      <c r="B119">
        <f>PivotSheets!B115</f>
        <v>3</v>
      </c>
    </row>
    <row r="120" spans="1:2" x14ac:dyDescent="0.3">
      <c r="A120" t="str">
        <f>PivotSheets!A119</f>
        <v>Sony</v>
      </c>
      <c r="B120">
        <f>PivotSheets!B119</f>
        <v>3</v>
      </c>
    </row>
    <row r="121" spans="1:2" x14ac:dyDescent="0.3">
      <c r="A121" t="str">
        <f>PivotSheets!A122</f>
        <v>Tata Projects</v>
      </c>
      <c r="B121">
        <f>PivotSheets!B122</f>
        <v>3</v>
      </c>
    </row>
    <row r="122" spans="1:2" x14ac:dyDescent="0.3">
      <c r="A122" t="str">
        <f>PivotSheets!A82</f>
        <v>ABB</v>
      </c>
      <c r="B122">
        <f>PivotSheets!B82</f>
        <v>2</v>
      </c>
    </row>
    <row r="123" spans="1:2" x14ac:dyDescent="0.3">
      <c r="A123" t="str">
        <f>PivotSheets!A93</f>
        <v>DLF</v>
      </c>
      <c r="B123">
        <f>PivotSheets!B93</f>
        <v>2</v>
      </c>
    </row>
    <row r="124" spans="1:2" x14ac:dyDescent="0.3">
      <c r="A124" t="str">
        <f>PivotSheets!A102</f>
        <v>Intel</v>
      </c>
      <c r="B124">
        <f>PivotSheets!B102</f>
        <v>2</v>
      </c>
    </row>
    <row r="125" spans="1:2" x14ac:dyDescent="0.3">
      <c r="A125" t="str">
        <f>PivotSheets!A103</f>
        <v>IRCON</v>
      </c>
      <c r="B125">
        <f>PivotSheets!B103</f>
        <v>2</v>
      </c>
    </row>
    <row r="126" spans="1:2" x14ac:dyDescent="0.3">
      <c r="A126" t="str">
        <f>PivotSheets!A104</f>
        <v>JCB</v>
      </c>
      <c r="B126">
        <f>PivotSheets!B104</f>
        <v>2</v>
      </c>
    </row>
    <row r="127" spans="1:2" x14ac:dyDescent="0.3">
      <c r="A127" t="str">
        <f>PivotSheets!A125</f>
        <v>Thermax</v>
      </c>
      <c r="B127">
        <f>PivotSheets!B125</f>
        <v>2</v>
      </c>
    </row>
    <row r="128" spans="1:2" x14ac:dyDescent="0.3">
      <c r="A128" t="str">
        <f>PivotSheets!A85</f>
        <v>Analog Devices</v>
      </c>
      <c r="B128">
        <f>PivotSheets!B85</f>
        <v>1</v>
      </c>
    </row>
    <row r="129" spans="1:2" x14ac:dyDescent="0.3">
      <c r="A129" t="str">
        <f>PivotSheets!A95</f>
        <v>EY</v>
      </c>
      <c r="B129">
        <f>PivotSheets!B95</f>
        <v>1</v>
      </c>
    </row>
    <row r="130" spans="1:2" x14ac:dyDescent="0.3">
      <c r="A130" t="str">
        <f>PivotSheets!A96</f>
        <v>Godrej</v>
      </c>
      <c r="B130">
        <f>PivotSheets!B96</f>
        <v>1</v>
      </c>
    </row>
    <row r="131" spans="1:2" x14ac:dyDescent="0.3">
      <c r="A131" t="str">
        <f>PivotSheets!A108</f>
        <v>L&amp;T Electrical</v>
      </c>
      <c r="B131">
        <f>PivotSheets!B108</f>
        <v>1</v>
      </c>
    </row>
    <row r="132" spans="1:2" x14ac:dyDescent="0.3">
      <c r="A132" t="str">
        <f>PivotSheets!A113</f>
        <v>Punj Lloyd</v>
      </c>
      <c r="B132">
        <f>PivotSheets!B113</f>
        <v>1</v>
      </c>
    </row>
    <row r="133" spans="1:2" x14ac:dyDescent="0.3">
      <c r="A133" t="str">
        <f>PivotSheets!A117</f>
        <v>Shapoorji Pallonji</v>
      </c>
      <c r="B133">
        <f>PivotSheets!B117</f>
        <v>1</v>
      </c>
    </row>
    <row r="138" spans="1:2" x14ac:dyDescent="0.3">
      <c r="A138" t="s">
        <v>8</v>
      </c>
      <c r="B138" t="s">
        <v>641</v>
      </c>
    </row>
    <row r="139" spans="1:2" x14ac:dyDescent="0.3">
      <c r="A139" t="str">
        <f>PivotSheets!A133</f>
        <v>Business</v>
      </c>
      <c r="B139">
        <f>PivotSheets!B133</f>
        <v>7</v>
      </c>
    </row>
    <row r="140" spans="1:2" x14ac:dyDescent="0.3">
      <c r="A140" t="str">
        <f>PivotSheets!A134</f>
        <v>Civil</v>
      </c>
      <c r="B140">
        <f>PivotSheets!B134</f>
        <v>20</v>
      </c>
    </row>
    <row r="141" spans="1:2" x14ac:dyDescent="0.3">
      <c r="A141" t="str">
        <f>PivotSheets!A135</f>
        <v>Core/Consulting</v>
      </c>
      <c r="B141">
        <f>PivotSheets!B135</f>
        <v>14</v>
      </c>
    </row>
    <row r="142" spans="1:2" x14ac:dyDescent="0.3">
      <c r="A142" t="str">
        <f>PivotSheets!A136</f>
        <v>Electrical</v>
      </c>
      <c r="B142">
        <f>PivotSheets!B136</f>
        <v>33</v>
      </c>
    </row>
    <row r="143" spans="1:2" x14ac:dyDescent="0.3">
      <c r="A143" t="str">
        <f>PivotSheets!A137</f>
        <v>Electronics</v>
      </c>
      <c r="B143">
        <f>PivotSheets!B137</f>
        <v>35</v>
      </c>
    </row>
    <row r="144" spans="1:2" x14ac:dyDescent="0.3">
      <c r="A144" t="str">
        <f>PivotSheets!A138</f>
        <v>IT</v>
      </c>
      <c r="B144">
        <f>PivotSheets!B138</f>
        <v>192</v>
      </c>
    </row>
    <row r="145" spans="1:2" x14ac:dyDescent="0.3">
      <c r="A145" t="str">
        <f>PivotSheets!A139</f>
        <v>Mechanical</v>
      </c>
      <c r="B145">
        <f>PivotSheets!B139</f>
        <v>24</v>
      </c>
    </row>
    <row r="158" spans="1:2" x14ac:dyDescent="0.3">
      <c r="A158" t="s">
        <v>618</v>
      </c>
      <c r="B158" t="s">
        <v>623</v>
      </c>
    </row>
    <row r="159" spans="1:2" x14ac:dyDescent="0.3">
      <c r="A159" t="s">
        <v>645</v>
      </c>
      <c r="B159" s="8">
        <v>0.54</v>
      </c>
    </row>
    <row r="160" spans="1:2" x14ac:dyDescent="0.3">
      <c r="A160" t="str">
        <f>PivotSheets!A147</f>
        <v>7-8</v>
      </c>
      <c r="B160" s="8">
        <f>PivotSheets!D147</f>
        <v>0.64761904761904765</v>
      </c>
    </row>
    <row r="161" spans="1:2" x14ac:dyDescent="0.3">
      <c r="A161" t="str">
        <f>PivotSheets!A148</f>
        <v>8-9</v>
      </c>
      <c r="B161" s="8">
        <f>PivotSheets!D148</f>
        <v>0.7678571428571429</v>
      </c>
    </row>
    <row r="162" spans="1:2" x14ac:dyDescent="0.3">
      <c r="A162" t="str">
        <f>PivotSheets!A149</f>
        <v>9+</v>
      </c>
      <c r="B162" s="8">
        <f>PivotSheets!D149</f>
        <v>0.72448979591836737</v>
      </c>
    </row>
    <row r="163" spans="1:2" x14ac:dyDescent="0.3">
      <c r="B163" s="8"/>
    </row>
  </sheetData>
  <pageMargins left="0.7" right="0.7" top="0.75" bottom="0.75" header="0.3" footer="0.3"/>
  <drawing r:id="rId2"/>
  <tableParts count="6">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98531-176C-455E-AF2D-90A538F48817}">
  <dimension ref="A1:AC20"/>
  <sheetViews>
    <sheetView showGridLines="0" topLeftCell="D52" zoomScale="81" zoomScaleNormal="40" workbookViewId="0">
      <selection activeCell="AC20" sqref="AC20"/>
    </sheetView>
  </sheetViews>
  <sheetFormatPr defaultRowHeight="14.4" x14ac:dyDescent="0.3"/>
  <sheetData>
    <row r="1" spans="1:19" x14ac:dyDescent="0.3">
      <c r="A1" s="14">
        <f>KPI_Calculations!B1</f>
        <v>500</v>
      </c>
      <c r="B1" s="14"/>
      <c r="C1" s="14"/>
      <c r="E1" s="15">
        <f>KPI_Calculations!B3</f>
        <v>0.65</v>
      </c>
      <c r="F1" s="14"/>
      <c r="G1" s="14"/>
      <c r="I1" s="16">
        <f>KPI_Calculations!B4</f>
        <v>7.8997999999999937</v>
      </c>
      <c r="J1" s="16"/>
      <c r="K1" s="16"/>
      <c r="M1" s="14">
        <f>KPI_Calculations!B5</f>
        <v>24.4</v>
      </c>
      <c r="N1" s="14"/>
      <c r="O1" s="14"/>
      <c r="Q1" s="14">
        <f>KPI_Calculations!B6</f>
        <v>45</v>
      </c>
      <c r="R1" s="14"/>
      <c r="S1" s="14"/>
    </row>
    <row r="2" spans="1:19" x14ac:dyDescent="0.3">
      <c r="A2" s="14"/>
      <c r="B2" s="14"/>
      <c r="C2" s="14"/>
      <c r="E2" s="14"/>
      <c r="F2" s="14"/>
      <c r="G2" s="14"/>
      <c r="I2" s="16"/>
      <c r="J2" s="16"/>
      <c r="K2" s="16"/>
      <c r="M2" s="14"/>
      <c r="N2" s="14"/>
      <c r="O2" s="14"/>
      <c r="Q2" s="14"/>
      <c r="R2" s="14"/>
      <c r="S2" s="14"/>
    </row>
    <row r="3" spans="1:19" ht="15" thickBot="1" x14ac:dyDescent="0.35">
      <c r="A3" s="14"/>
      <c r="B3" s="14"/>
      <c r="C3" s="14"/>
      <c r="E3" s="14"/>
      <c r="F3" s="14"/>
      <c r="G3" s="14"/>
      <c r="I3" s="16"/>
      <c r="J3" s="16"/>
      <c r="K3" s="16"/>
      <c r="M3" s="14"/>
      <c r="N3" s="14"/>
      <c r="O3" s="14"/>
      <c r="Q3" s="14"/>
      <c r="R3" s="14"/>
      <c r="S3" s="14"/>
    </row>
    <row r="4" spans="1:19" ht="15" thickBot="1" x14ac:dyDescent="0.35">
      <c r="A4" s="17" t="s">
        <v>621</v>
      </c>
      <c r="B4" s="18"/>
      <c r="C4" s="19"/>
      <c r="E4" s="20" t="s">
        <v>652</v>
      </c>
      <c r="F4" s="21"/>
      <c r="G4" s="22"/>
      <c r="I4" s="20" t="s">
        <v>653</v>
      </c>
      <c r="J4" s="21"/>
      <c r="K4" s="22"/>
      <c r="M4" s="20" t="s">
        <v>626</v>
      </c>
      <c r="N4" s="21"/>
      <c r="O4" s="22"/>
      <c r="Q4" s="20" t="s">
        <v>625</v>
      </c>
      <c r="R4" s="21"/>
      <c r="S4" s="22"/>
    </row>
    <row r="20" spans="29:29" x14ac:dyDescent="0.3">
      <c r="AC20" t="s">
        <v>654</v>
      </c>
    </row>
  </sheetData>
  <mergeCells count="10">
    <mergeCell ref="I1:K3"/>
    <mergeCell ref="I4:K4"/>
    <mergeCell ref="M1:O3"/>
    <mergeCell ref="M4:O4"/>
    <mergeCell ref="Q1:S3"/>
    <mergeCell ref="Q4:S4"/>
    <mergeCell ref="A1:C3"/>
    <mergeCell ref="A4:C4"/>
    <mergeCell ref="E1:G3"/>
    <mergeCell ref="E4:G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501"/>
  <sheetViews>
    <sheetView tabSelected="1" topLeftCell="M1" workbookViewId="0">
      <pane ySplit="1" topLeftCell="A2" activePane="bottomLeft" state="frozen"/>
      <selection pane="bottomLeft" activeCell="T11" sqref="R10:T11"/>
    </sheetView>
  </sheetViews>
  <sheetFormatPr defaultRowHeight="14.4" x14ac:dyDescent="0.3"/>
  <cols>
    <col min="1" max="1" width="12.33203125" customWidth="1"/>
    <col min="4" max="4" width="11.44140625" customWidth="1"/>
    <col min="6" max="6" width="18" customWidth="1"/>
    <col min="7" max="7" width="14.109375" customWidth="1"/>
    <col min="8" max="8" width="11" customWidth="1"/>
    <col min="9" max="9" width="9.88671875" customWidth="1"/>
    <col min="10" max="10" width="12.33203125" customWidth="1"/>
    <col min="11" max="11" width="22.5546875" bestFit="1" customWidth="1"/>
    <col min="12" max="12" width="13.5546875" bestFit="1" customWidth="1"/>
    <col min="13" max="13" width="18.33203125" bestFit="1" customWidth="1"/>
    <col min="14" max="14" width="20" bestFit="1" customWidth="1"/>
    <col min="15" max="15" width="13.6640625" customWidth="1"/>
    <col min="16" max="16" width="19.33203125" bestFit="1" customWidth="1"/>
  </cols>
  <sheetData>
    <row r="1" spans="1:16" x14ac:dyDescent="0.3">
      <c r="A1" s="1" t="s">
        <v>0</v>
      </c>
      <c r="B1" s="1" t="s">
        <v>1</v>
      </c>
      <c r="C1" s="1" t="s">
        <v>2</v>
      </c>
      <c r="D1" s="1" t="s">
        <v>3</v>
      </c>
      <c r="E1" s="1" t="s">
        <v>4</v>
      </c>
      <c r="F1" s="1" t="s">
        <v>5</v>
      </c>
      <c r="G1" s="1" t="s">
        <v>6</v>
      </c>
      <c r="H1" s="5" t="s">
        <v>7</v>
      </c>
      <c r="I1" s="1" t="s">
        <v>8</v>
      </c>
      <c r="J1" s="3" t="s">
        <v>0</v>
      </c>
      <c r="K1" s="3" t="s">
        <v>617</v>
      </c>
      <c r="L1" s="2" t="s">
        <v>618</v>
      </c>
      <c r="M1" s="2" t="s">
        <v>619</v>
      </c>
      <c r="N1" s="2" t="s">
        <v>620</v>
      </c>
      <c r="O1" s="5"/>
      <c r="P1" s="5" t="s">
        <v>648</v>
      </c>
    </row>
    <row r="2" spans="1:16" x14ac:dyDescent="0.3">
      <c r="A2" t="s">
        <v>9</v>
      </c>
      <c r="B2" t="s">
        <v>10</v>
      </c>
      <c r="C2">
        <v>5.3</v>
      </c>
      <c r="D2" t="s">
        <v>11</v>
      </c>
      <c r="E2" t="s">
        <v>12</v>
      </c>
      <c r="F2" t="s">
        <v>13</v>
      </c>
      <c r="G2">
        <v>11</v>
      </c>
      <c r="H2" t="s">
        <v>14</v>
      </c>
      <c r="I2" t="s">
        <v>15</v>
      </c>
      <c r="J2" t="s">
        <v>9</v>
      </c>
      <c r="K2">
        <f>IF(tblPlacement[Placement_Status]="Placed",1,0)</f>
        <v>1</v>
      </c>
      <c r="L2" t="str">
        <f>IF(tblPlacement[CGPA]&gt;=9,"9+", IF(tblPlacement[CGPA]&gt;=8,"8-9",IF(tblPlacement[CGPA]&gt;=7,"7-8","Below 7")))</f>
        <v>Below 7</v>
      </c>
      <c r="M2" t="str">
        <f>IF(tblPlacement[Package_LPA]&gt;=15,"High",IF(tblPlacement[Package_LPA]&gt;=8,"Medium","Low"))</f>
        <v>Medium</v>
      </c>
      <c r="N2">
        <f>IF(tblPlacement[Internship]="Yes",1,0)</f>
        <v>1</v>
      </c>
      <c r="P2" t="s">
        <v>14</v>
      </c>
    </row>
    <row r="3" spans="1:16" x14ac:dyDescent="0.3">
      <c r="A3" t="s">
        <v>16</v>
      </c>
      <c r="B3" t="s">
        <v>17</v>
      </c>
      <c r="C3">
        <v>5.6</v>
      </c>
      <c r="D3" t="s">
        <v>11</v>
      </c>
      <c r="E3" t="s">
        <v>18</v>
      </c>
      <c r="F3" t="s">
        <v>13</v>
      </c>
      <c r="G3">
        <v>11.2</v>
      </c>
      <c r="H3" t="s">
        <v>19</v>
      </c>
      <c r="I3" t="s">
        <v>20</v>
      </c>
      <c r="J3" t="s">
        <v>16</v>
      </c>
      <c r="K3">
        <f>IF(tblPlacement[Placement_Status]="Placed",1,0)</f>
        <v>1</v>
      </c>
      <c r="L3" t="str">
        <f>IF(tblPlacement[CGPA]&gt;=9,"9+", IF(tblPlacement[CGPA]&gt;=8,"8-9",IF(tblPlacement[CGPA]&gt;=7,"7-8","Below 7")))</f>
        <v>Below 7</v>
      </c>
      <c r="M3" t="str">
        <f>IF(tblPlacement[Package_LPA]&gt;=15,"High",IF(tblPlacement[Package_LPA]&gt;=8,"Medium","Low"))</f>
        <v>Medium</v>
      </c>
      <c r="N3">
        <f>IF(tblPlacement[Internship]="Yes",1,0)</f>
        <v>1</v>
      </c>
      <c r="P3" t="s">
        <v>19</v>
      </c>
    </row>
    <row r="4" spans="1:16" x14ac:dyDescent="0.3">
      <c r="A4" t="s">
        <v>21</v>
      </c>
      <c r="B4" t="s">
        <v>17</v>
      </c>
      <c r="C4">
        <v>9.1999999999999993</v>
      </c>
      <c r="D4" t="s">
        <v>22</v>
      </c>
      <c r="E4" t="s">
        <v>23</v>
      </c>
      <c r="F4" t="s">
        <v>13</v>
      </c>
      <c r="G4">
        <v>6.7</v>
      </c>
      <c r="H4" t="s">
        <v>24</v>
      </c>
      <c r="I4" t="s">
        <v>20</v>
      </c>
      <c r="J4" t="s">
        <v>21</v>
      </c>
      <c r="K4">
        <f>IF(tblPlacement[Placement_Status]="Placed",1,0)</f>
        <v>1</v>
      </c>
      <c r="L4" t="str">
        <f>IF(tblPlacement[CGPA]&gt;=9,"9+", IF(tblPlacement[CGPA]&gt;=8,"8-9",IF(tblPlacement[CGPA]&gt;=7,"7-8","Below 7")))</f>
        <v>9+</v>
      </c>
      <c r="M4" t="str">
        <f>IF(tblPlacement[Package_LPA]&gt;=15,"High",IF(tblPlacement[Package_LPA]&gt;=8,"Medium","Low"))</f>
        <v>Low</v>
      </c>
      <c r="N4">
        <f>IF(tblPlacement[Internship]="Yes",1,0)</f>
        <v>0</v>
      </c>
      <c r="P4" t="s">
        <v>24</v>
      </c>
    </row>
    <row r="5" spans="1:16" x14ac:dyDescent="0.3">
      <c r="A5" t="s">
        <v>25</v>
      </c>
      <c r="B5" t="s">
        <v>26</v>
      </c>
      <c r="C5">
        <v>6.7</v>
      </c>
      <c r="D5" t="s">
        <v>11</v>
      </c>
      <c r="E5" t="s">
        <v>27</v>
      </c>
      <c r="F5" t="s">
        <v>13</v>
      </c>
      <c r="G5">
        <v>10.8</v>
      </c>
      <c r="H5" t="s">
        <v>28</v>
      </c>
      <c r="I5" t="s">
        <v>26</v>
      </c>
      <c r="J5" t="s">
        <v>25</v>
      </c>
      <c r="K5">
        <f>IF(tblPlacement[Placement_Status]="Placed",1,0)</f>
        <v>1</v>
      </c>
      <c r="L5" t="str">
        <f>IF(tblPlacement[CGPA]&gt;=9,"9+", IF(tblPlacement[CGPA]&gt;=8,"8-9",IF(tblPlacement[CGPA]&gt;=7,"7-8","Below 7")))</f>
        <v>Below 7</v>
      </c>
      <c r="M5" t="str">
        <f>IF(tblPlacement[Package_LPA]&gt;=15,"High",IF(tblPlacement[Package_LPA]&gt;=8,"Medium","Low"))</f>
        <v>Medium</v>
      </c>
      <c r="N5">
        <f>IF(tblPlacement[Internship]="Yes",1,0)</f>
        <v>1</v>
      </c>
      <c r="P5" t="s">
        <v>28</v>
      </c>
    </row>
    <row r="6" spans="1:16" x14ac:dyDescent="0.3">
      <c r="A6" t="s">
        <v>29</v>
      </c>
      <c r="B6" t="s">
        <v>30</v>
      </c>
      <c r="C6">
        <v>9.6999999999999993</v>
      </c>
      <c r="D6" t="s">
        <v>11</v>
      </c>
      <c r="E6" t="s">
        <v>31</v>
      </c>
      <c r="F6" t="s">
        <v>32</v>
      </c>
      <c r="G6">
        <v>0</v>
      </c>
      <c r="H6" t="s">
        <v>33</v>
      </c>
      <c r="I6" t="s">
        <v>33</v>
      </c>
      <c r="J6" t="s">
        <v>29</v>
      </c>
      <c r="K6">
        <f>IF(tblPlacement[Placement_Status]="Placed",1,0)</f>
        <v>0</v>
      </c>
      <c r="L6" t="str">
        <f>IF(tblPlacement[CGPA]&gt;=9,"9+", IF(tblPlacement[CGPA]&gt;=8,"8-9",IF(tblPlacement[CGPA]&gt;=7,"7-8","Below 7")))</f>
        <v>9+</v>
      </c>
      <c r="M6" t="str">
        <f>IF(tblPlacement[Package_LPA]&gt;=15,"High",IF(tblPlacement[Package_LPA]&gt;=8,"Medium","Low"))</f>
        <v>Low</v>
      </c>
      <c r="N6">
        <f>IF(tblPlacement[Internship]="Yes",1,0)</f>
        <v>1</v>
      </c>
      <c r="O6" t="s">
        <v>33</v>
      </c>
      <c r="P6" t="s">
        <v>33</v>
      </c>
    </row>
    <row r="7" spans="1:16" x14ac:dyDescent="0.3">
      <c r="A7" t="s">
        <v>34</v>
      </c>
      <c r="B7" t="s">
        <v>30</v>
      </c>
      <c r="C7">
        <v>9.1999999999999993</v>
      </c>
      <c r="D7" t="s">
        <v>11</v>
      </c>
      <c r="E7" t="s">
        <v>35</v>
      </c>
      <c r="F7" t="s">
        <v>13</v>
      </c>
      <c r="G7">
        <v>19.100000000000001</v>
      </c>
      <c r="H7" t="s">
        <v>36</v>
      </c>
      <c r="I7" t="s">
        <v>37</v>
      </c>
      <c r="J7" t="s">
        <v>34</v>
      </c>
      <c r="K7">
        <f>IF(tblPlacement[Placement_Status]="Placed",1,0)</f>
        <v>1</v>
      </c>
      <c r="L7" t="str">
        <f>IF(tblPlacement[CGPA]&gt;=9,"9+", IF(tblPlacement[CGPA]&gt;=8,"8-9",IF(tblPlacement[CGPA]&gt;=7,"7-8","Below 7")))</f>
        <v>9+</v>
      </c>
      <c r="M7" t="str">
        <f>IF(tblPlacement[Package_LPA]&gt;=15,"High",IF(tblPlacement[Package_LPA]&gt;=8,"Medium","Low"))</f>
        <v>High</v>
      </c>
      <c r="N7">
        <f>IF(tblPlacement[Internship]="Yes",1,0)</f>
        <v>1</v>
      </c>
      <c r="P7" t="s">
        <v>36</v>
      </c>
    </row>
    <row r="8" spans="1:16" x14ac:dyDescent="0.3">
      <c r="A8" t="s">
        <v>38</v>
      </c>
      <c r="B8" t="s">
        <v>20</v>
      </c>
      <c r="C8">
        <v>7.3</v>
      </c>
      <c r="D8" t="s">
        <v>22</v>
      </c>
      <c r="E8" t="s">
        <v>39</v>
      </c>
      <c r="F8" t="s">
        <v>13</v>
      </c>
      <c r="G8">
        <v>14.5</v>
      </c>
      <c r="H8" t="s">
        <v>24</v>
      </c>
      <c r="I8" t="s">
        <v>20</v>
      </c>
      <c r="J8" t="s">
        <v>38</v>
      </c>
      <c r="K8">
        <f>IF(tblPlacement[Placement_Status]="Placed",1,0)</f>
        <v>1</v>
      </c>
      <c r="L8" t="str">
        <f>IF(tblPlacement[CGPA]&gt;=9,"9+", IF(tblPlacement[CGPA]&gt;=8,"8-9",IF(tblPlacement[CGPA]&gt;=7,"7-8","Below 7")))</f>
        <v>7-8</v>
      </c>
      <c r="M8" t="str">
        <f>IF(tblPlacement[Package_LPA]&gt;=15,"High",IF(tblPlacement[Package_LPA]&gt;=8,"Medium","Low"))</f>
        <v>Medium</v>
      </c>
      <c r="N8">
        <f>IF(tblPlacement[Internship]="Yes",1,0)</f>
        <v>0</v>
      </c>
      <c r="P8" t="s">
        <v>41</v>
      </c>
    </row>
    <row r="9" spans="1:16" x14ac:dyDescent="0.3">
      <c r="A9" t="s">
        <v>40</v>
      </c>
      <c r="B9" t="s">
        <v>10</v>
      </c>
      <c r="C9">
        <v>5.5</v>
      </c>
      <c r="D9" t="s">
        <v>22</v>
      </c>
      <c r="E9" t="s">
        <v>12</v>
      </c>
      <c r="F9" t="s">
        <v>13</v>
      </c>
      <c r="G9">
        <v>11.5</v>
      </c>
      <c r="H9" t="s">
        <v>41</v>
      </c>
      <c r="I9" t="s">
        <v>15</v>
      </c>
      <c r="J9" t="s">
        <v>40</v>
      </c>
      <c r="K9">
        <f>IF(tblPlacement[Placement_Status]="Placed",1,0)</f>
        <v>1</v>
      </c>
      <c r="L9" t="str">
        <f>IF(tblPlacement[CGPA]&gt;=9,"9+", IF(tblPlacement[CGPA]&gt;=8,"8-9",IF(tblPlacement[CGPA]&gt;=7,"7-8","Below 7")))</f>
        <v>Below 7</v>
      </c>
      <c r="M9" t="str">
        <f>IF(tblPlacement[Package_LPA]&gt;=15,"High",IF(tblPlacement[Package_LPA]&gt;=8,"Medium","Low"))</f>
        <v>Medium</v>
      </c>
      <c r="N9">
        <f>IF(tblPlacement[Internship]="Yes",1,0)</f>
        <v>0</v>
      </c>
      <c r="P9" t="s">
        <v>47</v>
      </c>
    </row>
    <row r="10" spans="1:16" x14ac:dyDescent="0.3">
      <c r="A10" t="s">
        <v>42</v>
      </c>
      <c r="B10" t="s">
        <v>43</v>
      </c>
      <c r="C10">
        <v>8.8000000000000007</v>
      </c>
      <c r="D10" t="s">
        <v>11</v>
      </c>
      <c r="E10" t="s">
        <v>44</v>
      </c>
      <c r="F10" t="s">
        <v>32</v>
      </c>
      <c r="G10">
        <v>0</v>
      </c>
      <c r="H10" t="s">
        <v>33</v>
      </c>
      <c r="I10" t="s">
        <v>33</v>
      </c>
      <c r="J10" t="s">
        <v>42</v>
      </c>
      <c r="K10">
        <f>IF(tblPlacement[Placement_Status]="Placed",1,0)</f>
        <v>0</v>
      </c>
      <c r="L10" t="str">
        <f>IF(tblPlacement[CGPA]&gt;=9,"9+", IF(tblPlacement[CGPA]&gt;=8,"8-9",IF(tblPlacement[CGPA]&gt;=7,"7-8","Below 7")))</f>
        <v>8-9</v>
      </c>
      <c r="M10" t="str">
        <f>IF(tblPlacement[Package_LPA]&gt;=15,"High",IF(tblPlacement[Package_LPA]&gt;=8,"Medium","Low"))</f>
        <v>Low</v>
      </c>
      <c r="N10">
        <f>IF(tblPlacement[Internship]="Yes",1,0)</f>
        <v>1</v>
      </c>
      <c r="P10" t="s">
        <v>51</v>
      </c>
    </row>
    <row r="11" spans="1:16" x14ac:dyDescent="0.3">
      <c r="A11" t="s">
        <v>45</v>
      </c>
      <c r="B11" t="s">
        <v>20</v>
      </c>
      <c r="C11">
        <v>5.5</v>
      </c>
      <c r="D11" t="s">
        <v>22</v>
      </c>
      <c r="E11" t="s">
        <v>46</v>
      </c>
      <c r="F11" t="s">
        <v>13</v>
      </c>
      <c r="G11">
        <v>16.3</v>
      </c>
      <c r="H11" t="s">
        <v>47</v>
      </c>
      <c r="I11" t="s">
        <v>20</v>
      </c>
      <c r="J11" t="s">
        <v>45</v>
      </c>
      <c r="K11">
        <f>IF(tblPlacement[Placement_Status]="Placed",1,0)</f>
        <v>1</v>
      </c>
      <c r="L11" t="str">
        <f>IF(tblPlacement[CGPA]&gt;=9,"9+", IF(tblPlacement[CGPA]&gt;=8,"8-9",IF(tblPlacement[CGPA]&gt;=7,"7-8","Below 7")))</f>
        <v>Below 7</v>
      </c>
      <c r="M11" t="str">
        <f>IF(tblPlacement[Package_LPA]&gt;=15,"High",IF(tblPlacement[Package_LPA]&gt;=8,"Medium","Low"))</f>
        <v>High</v>
      </c>
      <c r="N11">
        <f>IF(tblPlacement[Internship]="Yes",1,0)</f>
        <v>0</v>
      </c>
      <c r="P11" t="s">
        <v>53</v>
      </c>
    </row>
    <row r="12" spans="1:16" x14ac:dyDescent="0.3">
      <c r="A12" t="s">
        <v>48</v>
      </c>
      <c r="B12" t="s">
        <v>10</v>
      </c>
      <c r="C12">
        <v>5.9</v>
      </c>
      <c r="D12" t="s">
        <v>11</v>
      </c>
      <c r="E12" t="s">
        <v>49</v>
      </c>
      <c r="F12" t="s">
        <v>32</v>
      </c>
      <c r="G12">
        <v>0</v>
      </c>
      <c r="H12" t="s">
        <v>33</v>
      </c>
      <c r="I12" t="s">
        <v>33</v>
      </c>
      <c r="J12" t="s">
        <v>48</v>
      </c>
      <c r="K12">
        <f>IF(tblPlacement[Placement_Status]="Placed",1,0)</f>
        <v>0</v>
      </c>
      <c r="L12" t="str">
        <f>IF(tblPlacement[CGPA]&gt;=9,"9+", IF(tblPlacement[CGPA]&gt;=8,"8-9",IF(tblPlacement[CGPA]&gt;=7,"7-8","Below 7")))</f>
        <v>Below 7</v>
      </c>
      <c r="M12" t="str">
        <f>IF(tblPlacement[Package_LPA]&gt;=15,"High",IF(tblPlacement[Package_LPA]&gt;=8,"Medium","Low"))</f>
        <v>Low</v>
      </c>
      <c r="N12">
        <f>IF(tblPlacement[Internship]="Yes",1,0)</f>
        <v>1</v>
      </c>
      <c r="P12" t="s">
        <v>56</v>
      </c>
    </row>
    <row r="13" spans="1:16" x14ac:dyDescent="0.3">
      <c r="A13" t="s">
        <v>50</v>
      </c>
      <c r="B13" t="s">
        <v>20</v>
      </c>
      <c r="C13">
        <v>7.9</v>
      </c>
      <c r="D13" t="s">
        <v>11</v>
      </c>
      <c r="E13" t="s">
        <v>39</v>
      </c>
      <c r="F13" t="s">
        <v>13</v>
      </c>
      <c r="G13">
        <v>18</v>
      </c>
      <c r="H13" t="s">
        <v>51</v>
      </c>
      <c r="I13" t="s">
        <v>20</v>
      </c>
      <c r="J13" t="s">
        <v>50</v>
      </c>
      <c r="K13">
        <f>IF(tblPlacement[Placement_Status]="Placed",1,0)</f>
        <v>1</v>
      </c>
      <c r="L13" t="str">
        <f>IF(tblPlacement[CGPA]&gt;=9,"9+", IF(tblPlacement[CGPA]&gt;=8,"8-9",IF(tblPlacement[CGPA]&gt;=7,"7-8","Below 7")))</f>
        <v>7-8</v>
      </c>
      <c r="M13" t="str">
        <f>IF(tblPlacement[Package_LPA]&gt;=15,"High",IF(tblPlacement[Package_LPA]&gt;=8,"Medium","Low"))</f>
        <v>High</v>
      </c>
      <c r="N13">
        <f>IF(tblPlacement[Internship]="Yes",1,0)</f>
        <v>1</v>
      </c>
      <c r="P13" t="s">
        <v>61</v>
      </c>
    </row>
    <row r="14" spans="1:16" x14ac:dyDescent="0.3">
      <c r="A14" t="s">
        <v>52</v>
      </c>
      <c r="B14" t="s">
        <v>17</v>
      </c>
      <c r="C14">
        <v>5.9</v>
      </c>
      <c r="D14" t="s">
        <v>22</v>
      </c>
      <c r="E14" t="s">
        <v>46</v>
      </c>
      <c r="F14" t="s">
        <v>13</v>
      </c>
      <c r="G14">
        <v>7.1</v>
      </c>
      <c r="H14" t="s">
        <v>53</v>
      </c>
      <c r="I14" t="s">
        <v>20</v>
      </c>
      <c r="J14" t="s">
        <v>52</v>
      </c>
      <c r="K14">
        <f>IF(tblPlacement[Placement_Status]="Placed",1,0)</f>
        <v>1</v>
      </c>
      <c r="L14" t="str">
        <f>IF(tblPlacement[CGPA]&gt;=9,"9+", IF(tblPlacement[CGPA]&gt;=8,"8-9",IF(tblPlacement[CGPA]&gt;=7,"7-8","Below 7")))</f>
        <v>Below 7</v>
      </c>
      <c r="M14" t="str">
        <f>IF(tblPlacement[Package_LPA]&gt;=15,"High",IF(tblPlacement[Package_LPA]&gt;=8,"Medium","Low"))</f>
        <v>Low</v>
      </c>
      <c r="N14">
        <f>IF(tblPlacement[Internship]="Yes",1,0)</f>
        <v>0</v>
      </c>
      <c r="P14" t="s">
        <v>64</v>
      </c>
    </row>
    <row r="15" spans="1:16" x14ac:dyDescent="0.3">
      <c r="A15" t="s">
        <v>54</v>
      </c>
      <c r="B15" t="s">
        <v>30</v>
      </c>
      <c r="C15">
        <v>9.5</v>
      </c>
      <c r="D15" t="s">
        <v>22</v>
      </c>
      <c r="E15" t="s">
        <v>35</v>
      </c>
      <c r="F15" t="s">
        <v>32</v>
      </c>
      <c r="G15">
        <v>0</v>
      </c>
      <c r="H15" t="s">
        <v>33</v>
      </c>
      <c r="I15" t="s">
        <v>33</v>
      </c>
      <c r="J15" t="s">
        <v>54</v>
      </c>
      <c r="K15">
        <f>IF(tblPlacement[Placement_Status]="Placed",1,0)</f>
        <v>0</v>
      </c>
      <c r="L15" t="str">
        <f>IF(tblPlacement[CGPA]&gt;=9,"9+", IF(tblPlacement[CGPA]&gt;=8,"8-9",IF(tblPlacement[CGPA]&gt;=7,"7-8","Below 7")))</f>
        <v>9+</v>
      </c>
      <c r="M15" t="str">
        <f>IF(tblPlacement[Package_LPA]&gt;=15,"High",IF(tblPlacement[Package_LPA]&gt;=8,"Medium","Low"))</f>
        <v>Low</v>
      </c>
      <c r="N15">
        <f>IF(tblPlacement[Internship]="Yes",1,0)</f>
        <v>0</v>
      </c>
      <c r="P15" t="s">
        <v>67</v>
      </c>
    </row>
    <row r="16" spans="1:16" x14ac:dyDescent="0.3">
      <c r="A16" t="s">
        <v>55</v>
      </c>
      <c r="B16" t="s">
        <v>30</v>
      </c>
      <c r="C16">
        <v>6.4</v>
      </c>
      <c r="D16" t="s">
        <v>22</v>
      </c>
      <c r="E16" t="s">
        <v>35</v>
      </c>
      <c r="F16" t="s">
        <v>13</v>
      </c>
      <c r="G16">
        <v>16.3</v>
      </c>
      <c r="H16" t="s">
        <v>56</v>
      </c>
      <c r="I16" t="s">
        <v>37</v>
      </c>
      <c r="J16" t="s">
        <v>55</v>
      </c>
      <c r="K16">
        <f>IF(tblPlacement[Placement_Status]="Placed",1,0)</f>
        <v>1</v>
      </c>
      <c r="L16" t="str">
        <f>IF(tblPlacement[CGPA]&gt;=9,"9+", IF(tblPlacement[CGPA]&gt;=8,"8-9",IF(tblPlacement[CGPA]&gt;=7,"7-8","Below 7")))</f>
        <v>Below 7</v>
      </c>
      <c r="M16" t="str">
        <f>IF(tblPlacement[Package_LPA]&gt;=15,"High",IF(tblPlacement[Package_LPA]&gt;=8,"Medium","Low"))</f>
        <v>High</v>
      </c>
      <c r="N16">
        <f>IF(tblPlacement[Internship]="Yes",1,0)</f>
        <v>0</v>
      </c>
      <c r="P16" t="s">
        <v>72</v>
      </c>
    </row>
    <row r="17" spans="1:16" x14ac:dyDescent="0.3">
      <c r="A17" t="s">
        <v>57</v>
      </c>
      <c r="B17" t="s">
        <v>43</v>
      </c>
      <c r="C17">
        <v>7.5</v>
      </c>
      <c r="D17" t="s">
        <v>11</v>
      </c>
      <c r="E17" t="s">
        <v>58</v>
      </c>
      <c r="F17" t="s">
        <v>32</v>
      </c>
      <c r="G17">
        <v>0</v>
      </c>
      <c r="H17" t="s">
        <v>33</v>
      </c>
      <c r="I17" t="s">
        <v>33</v>
      </c>
      <c r="J17" t="s">
        <v>57</v>
      </c>
      <c r="K17">
        <f>IF(tblPlacement[Placement_Status]="Placed",1,0)</f>
        <v>0</v>
      </c>
      <c r="L17" t="str">
        <f>IF(tblPlacement[CGPA]&gt;=9,"9+", IF(tblPlacement[CGPA]&gt;=8,"8-9",IF(tblPlacement[CGPA]&gt;=7,"7-8","Below 7")))</f>
        <v>7-8</v>
      </c>
      <c r="M17" t="str">
        <f>IF(tblPlacement[Package_LPA]&gt;=15,"High",IF(tblPlacement[Package_LPA]&gt;=8,"Medium","Low"))</f>
        <v>Low</v>
      </c>
      <c r="N17">
        <f>IF(tblPlacement[Internship]="Yes",1,0)</f>
        <v>1</v>
      </c>
      <c r="P17" t="s">
        <v>81</v>
      </c>
    </row>
    <row r="18" spans="1:16" x14ac:dyDescent="0.3">
      <c r="A18" t="s">
        <v>59</v>
      </c>
      <c r="B18" t="s">
        <v>30</v>
      </c>
      <c r="C18">
        <v>6.1</v>
      </c>
      <c r="D18" t="s">
        <v>11</v>
      </c>
      <c r="E18" t="s">
        <v>60</v>
      </c>
      <c r="F18" t="s">
        <v>13</v>
      </c>
      <c r="G18">
        <v>4.8</v>
      </c>
      <c r="H18" t="s">
        <v>61</v>
      </c>
      <c r="I18" t="s">
        <v>37</v>
      </c>
      <c r="J18" t="s">
        <v>59</v>
      </c>
      <c r="K18">
        <f>IF(tblPlacement[Placement_Status]="Placed",1,0)</f>
        <v>1</v>
      </c>
      <c r="L18" t="str">
        <f>IF(tblPlacement[CGPA]&gt;=9,"9+", IF(tblPlacement[CGPA]&gt;=8,"8-9",IF(tblPlacement[CGPA]&gt;=7,"7-8","Below 7")))</f>
        <v>Below 7</v>
      </c>
      <c r="M18" t="str">
        <f>IF(tblPlacement[Package_LPA]&gt;=15,"High",IF(tblPlacement[Package_LPA]&gt;=8,"Medium","Low"))</f>
        <v>Low</v>
      </c>
      <c r="N18">
        <f>IF(tblPlacement[Internship]="Yes",1,0)</f>
        <v>1</v>
      </c>
      <c r="P18" t="s">
        <v>89</v>
      </c>
    </row>
    <row r="19" spans="1:16" x14ac:dyDescent="0.3">
      <c r="A19" t="s">
        <v>62</v>
      </c>
      <c r="B19" t="s">
        <v>26</v>
      </c>
      <c r="C19">
        <v>9.1999999999999993</v>
      </c>
      <c r="D19" t="s">
        <v>22</v>
      </c>
      <c r="E19" t="s">
        <v>63</v>
      </c>
      <c r="F19" t="s">
        <v>13</v>
      </c>
      <c r="G19">
        <v>4.8</v>
      </c>
      <c r="H19" t="s">
        <v>64</v>
      </c>
      <c r="I19" t="s">
        <v>65</v>
      </c>
      <c r="J19" t="s">
        <v>62</v>
      </c>
      <c r="K19">
        <f>IF(tblPlacement[Placement_Status]="Placed",1,0)</f>
        <v>1</v>
      </c>
      <c r="L19" t="str">
        <f>IF(tblPlacement[CGPA]&gt;=9,"9+", IF(tblPlacement[CGPA]&gt;=8,"8-9",IF(tblPlacement[CGPA]&gt;=7,"7-8","Below 7")))</f>
        <v>9+</v>
      </c>
      <c r="M19" t="str">
        <f>IF(tblPlacement[Package_LPA]&gt;=15,"High",IF(tblPlacement[Package_LPA]&gt;=8,"Medium","Low"))</f>
        <v>Low</v>
      </c>
      <c r="N19">
        <f>IF(tblPlacement[Internship]="Yes",1,0)</f>
        <v>0</v>
      </c>
      <c r="P19" t="s">
        <v>91</v>
      </c>
    </row>
    <row r="20" spans="1:16" x14ac:dyDescent="0.3">
      <c r="A20" t="s">
        <v>66</v>
      </c>
      <c r="B20" t="s">
        <v>30</v>
      </c>
      <c r="C20">
        <v>5.5</v>
      </c>
      <c r="D20" t="s">
        <v>22</v>
      </c>
      <c r="E20" t="s">
        <v>60</v>
      </c>
      <c r="F20" t="s">
        <v>13</v>
      </c>
      <c r="G20">
        <v>7.7</v>
      </c>
      <c r="H20" t="s">
        <v>67</v>
      </c>
      <c r="I20" t="s">
        <v>20</v>
      </c>
      <c r="J20" t="s">
        <v>66</v>
      </c>
      <c r="K20">
        <f>IF(tblPlacement[Placement_Status]="Placed",1,0)</f>
        <v>1</v>
      </c>
      <c r="L20" t="str">
        <f>IF(tblPlacement[CGPA]&gt;=9,"9+", IF(tblPlacement[CGPA]&gt;=8,"8-9",IF(tblPlacement[CGPA]&gt;=7,"7-8","Below 7")))</f>
        <v>Below 7</v>
      </c>
      <c r="M20" t="str">
        <f>IF(tblPlacement[Package_LPA]&gt;=15,"High",IF(tblPlacement[Package_LPA]&gt;=8,"Medium","Low"))</f>
        <v>Low</v>
      </c>
      <c r="N20">
        <f>IF(tblPlacement[Internship]="Yes",1,0)</f>
        <v>0</v>
      </c>
      <c r="P20" t="s">
        <v>95</v>
      </c>
    </row>
    <row r="21" spans="1:16" x14ac:dyDescent="0.3">
      <c r="A21" t="s">
        <v>68</v>
      </c>
      <c r="B21" t="s">
        <v>43</v>
      </c>
      <c r="C21">
        <v>7.1</v>
      </c>
      <c r="D21" t="s">
        <v>11</v>
      </c>
      <c r="E21" t="s">
        <v>69</v>
      </c>
      <c r="F21" t="s">
        <v>32</v>
      </c>
      <c r="G21">
        <v>0</v>
      </c>
      <c r="H21" t="s">
        <v>33</v>
      </c>
      <c r="I21" t="s">
        <v>33</v>
      </c>
      <c r="J21" t="s">
        <v>68</v>
      </c>
      <c r="K21">
        <f>IF(tblPlacement[Placement_Status]="Placed",1,0)</f>
        <v>0</v>
      </c>
      <c r="L21" t="str">
        <f>IF(tblPlacement[CGPA]&gt;=9,"9+", IF(tblPlacement[CGPA]&gt;=8,"8-9",IF(tblPlacement[CGPA]&gt;=7,"7-8","Below 7")))</f>
        <v>7-8</v>
      </c>
      <c r="M21" t="str">
        <f>IF(tblPlacement[Package_LPA]&gt;=15,"High",IF(tblPlacement[Package_LPA]&gt;=8,"Medium","Low"))</f>
        <v>Low</v>
      </c>
      <c r="N21">
        <f>IF(tblPlacement[Internship]="Yes",1,0)</f>
        <v>1</v>
      </c>
      <c r="P21" t="s">
        <v>99</v>
      </c>
    </row>
    <row r="22" spans="1:16" x14ac:dyDescent="0.3">
      <c r="A22" t="s">
        <v>70</v>
      </c>
      <c r="B22" t="s">
        <v>20</v>
      </c>
      <c r="C22">
        <v>8.3000000000000007</v>
      </c>
      <c r="D22" t="s">
        <v>11</v>
      </c>
      <c r="E22" t="s">
        <v>71</v>
      </c>
      <c r="F22" t="s">
        <v>13</v>
      </c>
      <c r="G22">
        <v>9.1999999999999993</v>
      </c>
      <c r="H22" t="s">
        <v>72</v>
      </c>
      <c r="I22" t="s">
        <v>20</v>
      </c>
      <c r="J22" t="s">
        <v>70</v>
      </c>
      <c r="K22">
        <f>IF(tblPlacement[Placement_Status]="Placed",1,0)</f>
        <v>1</v>
      </c>
      <c r="L22" t="str">
        <f>IF(tblPlacement[CGPA]&gt;=9,"9+", IF(tblPlacement[CGPA]&gt;=8,"8-9",IF(tblPlacement[CGPA]&gt;=7,"7-8","Below 7")))</f>
        <v>8-9</v>
      </c>
      <c r="M22" t="str">
        <f>IF(tblPlacement[Package_LPA]&gt;=15,"High",IF(tblPlacement[Package_LPA]&gt;=8,"Medium","Low"))</f>
        <v>Medium</v>
      </c>
      <c r="N22">
        <f>IF(tblPlacement[Internship]="Yes",1,0)</f>
        <v>1</v>
      </c>
      <c r="P22" t="s">
        <v>104</v>
      </c>
    </row>
    <row r="23" spans="1:16" x14ac:dyDescent="0.3">
      <c r="A23" t="s">
        <v>73</v>
      </c>
      <c r="B23" t="s">
        <v>30</v>
      </c>
      <c r="C23">
        <v>6.3</v>
      </c>
      <c r="D23" t="s">
        <v>11</v>
      </c>
      <c r="E23" t="s">
        <v>35</v>
      </c>
      <c r="F23" t="s">
        <v>32</v>
      </c>
      <c r="G23">
        <v>0</v>
      </c>
      <c r="H23" t="s">
        <v>33</v>
      </c>
      <c r="I23" t="s">
        <v>33</v>
      </c>
      <c r="J23" t="s">
        <v>73</v>
      </c>
      <c r="K23">
        <f>IF(tblPlacement[Placement_Status]="Placed",1,0)</f>
        <v>0</v>
      </c>
      <c r="L23" t="str">
        <f>IF(tblPlacement[CGPA]&gt;=9,"9+", IF(tblPlacement[CGPA]&gt;=8,"8-9",IF(tblPlacement[CGPA]&gt;=7,"7-8","Below 7")))</f>
        <v>Below 7</v>
      </c>
      <c r="M23" t="str">
        <f>IF(tblPlacement[Package_LPA]&gt;=15,"High",IF(tblPlacement[Package_LPA]&gt;=8,"Medium","Low"))</f>
        <v>Low</v>
      </c>
      <c r="N23">
        <f>IF(tblPlacement[Internship]="Yes",1,0)</f>
        <v>1</v>
      </c>
      <c r="P23" t="s">
        <v>115</v>
      </c>
    </row>
    <row r="24" spans="1:16" x14ac:dyDescent="0.3">
      <c r="A24" t="s">
        <v>74</v>
      </c>
      <c r="B24" t="s">
        <v>17</v>
      </c>
      <c r="C24">
        <v>5.5</v>
      </c>
      <c r="D24" t="s">
        <v>11</v>
      </c>
      <c r="E24" t="s">
        <v>39</v>
      </c>
      <c r="F24" t="s">
        <v>13</v>
      </c>
      <c r="G24">
        <v>14.6</v>
      </c>
      <c r="H24" t="s">
        <v>24</v>
      </c>
      <c r="I24" t="s">
        <v>20</v>
      </c>
      <c r="J24" t="s">
        <v>74</v>
      </c>
      <c r="K24">
        <f>IF(tblPlacement[Placement_Status]="Placed",1,0)</f>
        <v>1</v>
      </c>
      <c r="L24" t="str">
        <f>IF(tblPlacement[CGPA]&gt;=9,"9+", IF(tblPlacement[CGPA]&gt;=8,"8-9",IF(tblPlacement[CGPA]&gt;=7,"7-8","Below 7")))</f>
        <v>Below 7</v>
      </c>
      <c r="M24" t="str">
        <f>IF(tblPlacement[Package_LPA]&gt;=15,"High",IF(tblPlacement[Package_LPA]&gt;=8,"Medium","Low"))</f>
        <v>Medium</v>
      </c>
      <c r="N24">
        <f>IF(tblPlacement[Internship]="Yes",1,0)</f>
        <v>1</v>
      </c>
      <c r="P24" t="s">
        <v>119</v>
      </c>
    </row>
    <row r="25" spans="1:16" x14ac:dyDescent="0.3">
      <c r="A25" t="s">
        <v>75</v>
      </c>
      <c r="B25" t="s">
        <v>17</v>
      </c>
      <c r="C25">
        <v>5.8</v>
      </c>
      <c r="D25" t="s">
        <v>22</v>
      </c>
      <c r="E25" t="s">
        <v>76</v>
      </c>
      <c r="F25" t="s">
        <v>13</v>
      </c>
      <c r="G25">
        <v>6.3</v>
      </c>
      <c r="H25" t="s">
        <v>47</v>
      </c>
      <c r="I25" t="s">
        <v>20</v>
      </c>
      <c r="J25" t="s">
        <v>75</v>
      </c>
      <c r="K25">
        <f>IF(tblPlacement[Placement_Status]="Placed",1,0)</f>
        <v>1</v>
      </c>
      <c r="L25" t="str">
        <f>IF(tblPlacement[CGPA]&gt;=9,"9+", IF(tblPlacement[CGPA]&gt;=8,"8-9",IF(tblPlacement[CGPA]&gt;=7,"7-8","Below 7")))</f>
        <v>Below 7</v>
      </c>
      <c r="M25" t="str">
        <f>IF(tblPlacement[Package_LPA]&gt;=15,"High",IF(tblPlacement[Package_LPA]&gt;=8,"Medium","Low"))</f>
        <v>Low</v>
      </c>
      <c r="N25">
        <f>IF(tblPlacement[Internship]="Yes",1,0)</f>
        <v>0</v>
      </c>
      <c r="P25" t="s">
        <v>124</v>
      </c>
    </row>
    <row r="26" spans="1:16" x14ac:dyDescent="0.3">
      <c r="A26" t="s">
        <v>77</v>
      </c>
      <c r="B26" t="s">
        <v>17</v>
      </c>
      <c r="C26">
        <v>7.2</v>
      </c>
      <c r="D26" t="s">
        <v>11</v>
      </c>
      <c r="E26" t="s">
        <v>76</v>
      </c>
      <c r="F26" t="s">
        <v>32</v>
      </c>
      <c r="G26">
        <v>0</v>
      </c>
      <c r="H26" t="s">
        <v>33</v>
      </c>
      <c r="I26" t="s">
        <v>33</v>
      </c>
      <c r="J26" t="s">
        <v>77</v>
      </c>
      <c r="K26">
        <f>IF(tblPlacement[Placement_Status]="Placed",1,0)</f>
        <v>0</v>
      </c>
      <c r="L26" t="str">
        <f>IF(tblPlacement[CGPA]&gt;=9,"9+", IF(tblPlacement[CGPA]&gt;=8,"8-9",IF(tblPlacement[CGPA]&gt;=7,"7-8","Below 7")))</f>
        <v>7-8</v>
      </c>
      <c r="M26" t="str">
        <f>IF(tblPlacement[Package_LPA]&gt;=15,"High",IF(tblPlacement[Package_LPA]&gt;=8,"Medium","Low"))</f>
        <v>Low</v>
      </c>
      <c r="N26">
        <f>IF(tblPlacement[Internship]="Yes",1,0)</f>
        <v>1</v>
      </c>
      <c r="P26" t="s">
        <v>128</v>
      </c>
    </row>
    <row r="27" spans="1:16" x14ac:dyDescent="0.3">
      <c r="A27" t="s">
        <v>78</v>
      </c>
      <c r="B27" t="s">
        <v>17</v>
      </c>
      <c r="C27">
        <v>8.1999999999999993</v>
      </c>
      <c r="D27" t="s">
        <v>22</v>
      </c>
      <c r="E27" t="s">
        <v>18</v>
      </c>
      <c r="F27" t="s">
        <v>13</v>
      </c>
      <c r="G27">
        <v>7.9</v>
      </c>
      <c r="H27" t="s">
        <v>72</v>
      </c>
      <c r="I27" t="s">
        <v>20</v>
      </c>
      <c r="J27" t="s">
        <v>78</v>
      </c>
      <c r="K27">
        <f>IF(tblPlacement[Placement_Status]="Placed",1,0)</f>
        <v>1</v>
      </c>
      <c r="L27" t="str">
        <f>IF(tblPlacement[CGPA]&gt;=9,"9+", IF(tblPlacement[CGPA]&gt;=8,"8-9",IF(tblPlacement[CGPA]&gt;=7,"7-8","Below 7")))</f>
        <v>8-9</v>
      </c>
      <c r="M27" t="str">
        <f>IF(tblPlacement[Package_LPA]&gt;=15,"High",IF(tblPlacement[Package_LPA]&gt;=8,"Medium","Low"))</f>
        <v>Low</v>
      </c>
      <c r="N27">
        <f>IF(tblPlacement[Internship]="Yes",1,0)</f>
        <v>0</v>
      </c>
      <c r="P27" t="s">
        <v>142</v>
      </c>
    </row>
    <row r="28" spans="1:16" x14ac:dyDescent="0.3">
      <c r="A28" t="s">
        <v>79</v>
      </c>
      <c r="B28" t="s">
        <v>17</v>
      </c>
      <c r="C28">
        <v>7.3</v>
      </c>
      <c r="D28" t="s">
        <v>11</v>
      </c>
      <c r="E28" t="s">
        <v>80</v>
      </c>
      <c r="F28" t="s">
        <v>13</v>
      </c>
      <c r="G28">
        <v>16.8</v>
      </c>
      <c r="H28" t="s">
        <v>81</v>
      </c>
      <c r="I28" t="s">
        <v>20</v>
      </c>
      <c r="J28" t="s">
        <v>79</v>
      </c>
      <c r="K28">
        <f>IF(tblPlacement[Placement_Status]="Placed",1,0)</f>
        <v>1</v>
      </c>
      <c r="L28" t="str">
        <f>IF(tblPlacement[CGPA]&gt;=9,"9+", IF(tblPlacement[CGPA]&gt;=8,"8-9",IF(tblPlacement[CGPA]&gt;=7,"7-8","Below 7")))</f>
        <v>7-8</v>
      </c>
      <c r="M28" t="str">
        <f>IF(tblPlacement[Package_LPA]&gt;=15,"High",IF(tblPlacement[Package_LPA]&gt;=8,"Medium","Low"))</f>
        <v>High</v>
      </c>
      <c r="N28">
        <f>IF(tblPlacement[Internship]="Yes",1,0)</f>
        <v>1</v>
      </c>
      <c r="P28" t="s">
        <v>151</v>
      </c>
    </row>
    <row r="29" spans="1:16" x14ac:dyDescent="0.3">
      <c r="A29" t="s">
        <v>82</v>
      </c>
      <c r="B29" t="s">
        <v>43</v>
      </c>
      <c r="C29">
        <v>5.7</v>
      </c>
      <c r="D29" t="s">
        <v>22</v>
      </c>
      <c r="E29" t="s">
        <v>44</v>
      </c>
      <c r="F29" t="s">
        <v>32</v>
      </c>
      <c r="G29">
        <v>0</v>
      </c>
      <c r="H29" t="s">
        <v>33</v>
      </c>
      <c r="I29" t="s">
        <v>33</v>
      </c>
      <c r="J29" t="s">
        <v>82</v>
      </c>
      <c r="K29">
        <f>IF(tblPlacement[Placement_Status]="Placed",1,0)</f>
        <v>0</v>
      </c>
      <c r="L29" t="str">
        <f>IF(tblPlacement[CGPA]&gt;=9,"9+", IF(tblPlacement[CGPA]&gt;=8,"8-9",IF(tblPlacement[CGPA]&gt;=7,"7-8","Below 7")))</f>
        <v>Below 7</v>
      </c>
      <c r="M29" t="str">
        <f>IF(tblPlacement[Package_LPA]&gt;=15,"High",IF(tblPlacement[Package_LPA]&gt;=8,"Medium","Low"))</f>
        <v>Low</v>
      </c>
      <c r="N29">
        <f>IF(tblPlacement[Internship]="Yes",1,0)</f>
        <v>0</v>
      </c>
      <c r="P29" t="s">
        <v>159</v>
      </c>
    </row>
    <row r="30" spans="1:16" x14ac:dyDescent="0.3">
      <c r="A30" t="s">
        <v>83</v>
      </c>
      <c r="B30" t="s">
        <v>26</v>
      </c>
      <c r="C30">
        <v>9.1</v>
      </c>
      <c r="D30" t="s">
        <v>11</v>
      </c>
      <c r="E30" t="s">
        <v>84</v>
      </c>
      <c r="F30" t="s">
        <v>13</v>
      </c>
      <c r="G30">
        <v>13.1</v>
      </c>
      <c r="H30" t="s">
        <v>67</v>
      </c>
      <c r="I30" t="s">
        <v>20</v>
      </c>
      <c r="J30" t="s">
        <v>83</v>
      </c>
      <c r="K30">
        <f>IF(tblPlacement[Placement_Status]="Placed",1,0)</f>
        <v>1</v>
      </c>
      <c r="L30" t="str">
        <f>IF(tblPlacement[CGPA]&gt;=9,"9+", IF(tblPlacement[CGPA]&gt;=8,"8-9",IF(tblPlacement[CGPA]&gt;=7,"7-8","Below 7")))</f>
        <v>9+</v>
      </c>
      <c r="M30" t="str">
        <f>IF(tblPlacement[Package_LPA]&gt;=15,"High",IF(tblPlacement[Package_LPA]&gt;=8,"Medium","Low"))</f>
        <v>Medium</v>
      </c>
      <c r="N30">
        <f>IF(tblPlacement[Internship]="Yes",1,0)</f>
        <v>1</v>
      </c>
      <c r="P30" t="s">
        <v>161</v>
      </c>
    </row>
    <row r="31" spans="1:16" x14ac:dyDescent="0.3">
      <c r="A31" t="s">
        <v>85</v>
      </c>
      <c r="B31" t="s">
        <v>17</v>
      </c>
      <c r="C31">
        <v>8.8000000000000007</v>
      </c>
      <c r="D31" t="s">
        <v>11</v>
      </c>
      <c r="E31" t="s">
        <v>86</v>
      </c>
      <c r="F31" t="s">
        <v>13</v>
      </c>
      <c r="G31">
        <v>9</v>
      </c>
      <c r="H31" t="s">
        <v>67</v>
      </c>
      <c r="I31" t="s">
        <v>20</v>
      </c>
      <c r="J31" t="s">
        <v>85</v>
      </c>
      <c r="K31">
        <f>IF(tblPlacement[Placement_Status]="Placed",1,0)</f>
        <v>1</v>
      </c>
      <c r="L31" t="str">
        <f>IF(tblPlacement[CGPA]&gt;=9,"9+", IF(tblPlacement[CGPA]&gt;=8,"8-9",IF(tblPlacement[CGPA]&gt;=7,"7-8","Below 7")))</f>
        <v>8-9</v>
      </c>
      <c r="M31" t="str">
        <f>IF(tblPlacement[Package_LPA]&gt;=15,"High",IF(tblPlacement[Package_LPA]&gt;=8,"Medium","Low"))</f>
        <v>Medium</v>
      </c>
      <c r="N31">
        <f>IF(tblPlacement[Internship]="Yes",1,0)</f>
        <v>1</v>
      </c>
      <c r="P31" t="s">
        <v>163</v>
      </c>
    </row>
    <row r="32" spans="1:16" x14ac:dyDescent="0.3">
      <c r="A32" t="s">
        <v>87</v>
      </c>
      <c r="B32" t="s">
        <v>17</v>
      </c>
      <c r="C32">
        <v>8.6</v>
      </c>
      <c r="D32" t="s">
        <v>11</v>
      </c>
      <c r="E32" t="s">
        <v>39</v>
      </c>
      <c r="F32" t="s">
        <v>13</v>
      </c>
      <c r="G32">
        <v>19.399999999999999</v>
      </c>
      <c r="H32" t="s">
        <v>53</v>
      </c>
      <c r="I32" t="s">
        <v>20</v>
      </c>
      <c r="J32" t="s">
        <v>87</v>
      </c>
      <c r="K32">
        <f>IF(tblPlacement[Placement_Status]="Placed",1,0)</f>
        <v>1</v>
      </c>
      <c r="L32" t="str">
        <f>IF(tblPlacement[CGPA]&gt;=9,"9+", IF(tblPlacement[CGPA]&gt;=8,"8-9",IF(tblPlacement[CGPA]&gt;=7,"7-8","Below 7")))</f>
        <v>8-9</v>
      </c>
      <c r="M32" t="str">
        <f>IF(tblPlacement[Package_LPA]&gt;=15,"High",IF(tblPlacement[Package_LPA]&gt;=8,"Medium","Low"))</f>
        <v>High</v>
      </c>
      <c r="N32">
        <f>IF(tblPlacement[Internship]="Yes",1,0)</f>
        <v>1</v>
      </c>
      <c r="P32" t="s">
        <v>182</v>
      </c>
    </row>
    <row r="33" spans="1:16" x14ac:dyDescent="0.3">
      <c r="A33" t="s">
        <v>88</v>
      </c>
      <c r="B33" t="s">
        <v>30</v>
      </c>
      <c r="C33">
        <v>5.5</v>
      </c>
      <c r="D33" t="s">
        <v>11</v>
      </c>
      <c r="E33" t="s">
        <v>60</v>
      </c>
      <c r="F33" t="s">
        <v>13</v>
      </c>
      <c r="G33">
        <v>9.6999999999999993</v>
      </c>
      <c r="H33" t="s">
        <v>89</v>
      </c>
      <c r="I33" t="s">
        <v>37</v>
      </c>
      <c r="J33" t="s">
        <v>88</v>
      </c>
      <c r="K33">
        <f>IF(tblPlacement[Placement_Status]="Placed",1,0)</f>
        <v>1</v>
      </c>
      <c r="L33" t="str">
        <f>IF(tblPlacement[CGPA]&gt;=9,"9+", IF(tblPlacement[CGPA]&gt;=8,"8-9",IF(tblPlacement[CGPA]&gt;=7,"7-8","Below 7")))</f>
        <v>Below 7</v>
      </c>
      <c r="M33" t="str">
        <f>IF(tblPlacement[Package_LPA]&gt;=15,"High",IF(tblPlacement[Package_LPA]&gt;=8,"Medium","Low"))</f>
        <v>Medium</v>
      </c>
      <c r="N33">
        <f>IF(tblPlacement[Internship]="Yes",1,0)</f>
        <v>1</v>
      </c>
      <c r="P33" t="s">
        <v>195</v>
      </c>
    </row>
    <row r="34" spans="1:16" x14ac:dyDescent="0.3">
      <c r="A34" t="s">
        <v>90</v>
      </c>
      <c r="B34" t="s">
        <v>26</v>
      </c>
      <c r="C34">
        <v>7.8</v>
      </c>
      <c r="D34" t="s">
        <v>11</v>
      </c>
      <c r="E34" t="s">
        <v>44</v>
      </c>
      <c r="F34" t="s">
        <v>13</v>
      </c>
      <c r="G34">
        <v>13.3</v>
      </c>
      <c r="H34" t="s">
        <v>91</v>
      </c>
      <c r="I34" t="s">
        <v>26</v>
      </c>
      <c r="J34" t="s">
        <v>90</v>
      </c>
      <c r="K34">
        <f>IF(tblPlacement[Placement_Status]="Placed",1,0)</f>
        <v>1</v>
      </c>
      <c r="L34" t="str">
        <f>IF(tblPlacement[CGPA]&gt;=9,"9+", IF(tblPlacement[CGPA]&gt;=8,"8-9",IF(tblPlacement[CGPA]&gt;=7,"7-8","Below 7")))</f>
        <v>7-8</v>
      </c>
      <c r="M34" t="str">
        <f>IF(tblPlacement[Package_LPA]&gt;=15,"High",IF(tblPlacement[Package_LPA]&gt;=8,"Medium","Low"))</f>
        <v>Medium</v>
      </c>
      <c r="N34">
        <f>IF(tblPlacement[Internship]="Yes",1,0)</f>
        <v>1</v>
      </c>
      <c r="P34" t="s">
        <v>207</v>
      </c>
    </row>
    <row r="35" spans="1:16" x14ac:dyDescent="0.3">
      <c r="A35" t="s">
        <v>92</v>
      </c>
      <c r="B35" t="s">
        <v>17</v>
      </c>
      <c r="C35">
        <v>8.5</v>
      </c>
      <c r="D35" t="s">
        <v>11</v>
      </c>
      <c r="E35" t="s">
        <v>86</v>
      </c>
      <c r="F35" t="s">
        <v>13</v>
      </c>
      <c r="G35">
        <v>9.6</v>
      </c>
      <c r="H35" t="s">
        <v>81</v>
      </c>
      <c r="I35" t="s">
        <v>20</v>
      </c>
      <c r="J35" t="s">
        <v>92</v>
      </c>
      <c r="K35">
        <f>IF(tblPlacement[Placement_Status]="Placed",1,0)</f>
        <v>1</v>
      </c>
      <c r="L35" t="str">
        <f>IF(tblPlacement[CGPA]&gt;=9,"9+", IF(tblPlacement[CGPA]&gt;=8,"8-9",IF(tblPlacement[CGPA]&gt;=7,"7-8","Below 7")))</f>
        <v>8-9</v>
      </c>
      <c r="M35" t="str">
        <f>IF(tblPlacement[Package_LPA]&gt;=15,"High",IF(tblPlacement[Package_LPA]&gt;=8,"Medium","Low"))</f>
        <v>Medium</v>
      </c>
      <c r="N35">
        <f>IF(tblPlacement[Internship]="Yes",1,0)</f>
        <v>1</v>
      </c>
      <c r="P35" t="s">
        <v>224</v>
      </c>
    </row>
    <row r="36" spans="1:16" x14ac:dyDescent="0.3">
      <c r="A36" t="s">
        <v>93</v>
      </c>
      <c r="B36" t="s">
        <v>43</v>
      </c>
      <c r="C36">
        <v>5.5</v>
      </c>
      <c r="D36" t="s">
        <v>11</v>
      </c>
      <c r="E36" t="s">
        <v>94</v>
      </c>
      <c r="F36" t="s">
        <v>13</v>
      </c>
      <c r="G36">
        <v>14.7</v>
      </c>
      <c r="H36" t="s">
        <v>95</v>
      </c>
      <c r="I36" t="s">
        <v>43</v>
      </c>
      <c r="J36" t="s">
        <v>93</v>
      </c>
      <c r="K36">
        <f>IF(tblPlacement[Placement_Status]="Placed",1,0)</f>
        <v>1</v>
      </c>
      <c r="L36" t="str">
        <f>IF(tblPlacement[CGPA]&gt;=9,"9+", IF(tblPlacement[CGPA]&gt;=8,"8-9",IF(tblPlacement[CGPA]&gt;=7,"7-8","Below 7")))</f>
        <v>Below 7</v>
      </c>
      <c r="M36" t="str">
        <f>IF(tblPlacement[Package_LPA]&gt;=15,"High",IF(tblPlacement[Package_LPA]&gt;=8,"Medium","Low"))</f>
        <v>Medium</v>
      </c>
      <c r="N36">
        <f>IF(tblPlacement[Internship]="Yes",1,0)</f>
        <v>1</v>
      </c>
      <c r="P36" t="s">
        <v>255</v>
      </c>
    </row>
    <row r="37" spans="1:16" x14ac:dyDescent="0.3">
      <c r="A37" t="s">
        <v>96</v>
      </c>
      <c r="B37" t="s">
        <v>26</v>
      </c>
      <c r="C37">
        <v>9.1999999999999993</v>
      </c>
      <c r="D37" t="s">
        <v>11</v>
      </c>
      <c r="E37" t="s">
        <v>97</v>
      </c>
      <c r="F37" t="s">
        <v>13</v>
      </c>
      <c r="G37">
        <v>13.1</v>
      </c>
      <c r="H37" t="s">
        <v>28</v>
      </c>
      <c r="I37" t="s">
        <v>26</v>
      </c>
      <c r="J37" t="s">
        <v>96</v>
      </c>
      <c r="K37">
        <f>IF(tblPlacement[Placement_Status]="Placed",1,0)</f>
        <v>1</v>
      </c>
      <c r="L37" t="str">
        <f>IF(tblPlacement[CGPA]&gt;=9,"9+", IF(tblPlacement[CGPA]&gt;=8,"8-9",IF(tblPlacement[CGPA]&gt;=7,"7-8","Below 7")))</f>
        <v>9+</v>
      </c>
      <c r="M37" t="str">
        <f>IF(tblPlacement[Package_LPA]&gt;=15,"High",IF(tblPlacement[Package_LPA]&gt;=8,"Medium","Low"))</f>
        <v>Medium</v>
      </c>
      <c r="N37">
        <f>IF(tblPlacement[Internship]="Yes",1,0)</f>
        <v>1</v>
      </c>
      <c r="P37" t="s">
        <v>264</v>
      </c>
    </row>
    <row r="38" spans="1:16" x14ac:dyDescent="0.3">
      <c r="A38" t="s">
        <v>98</v>
      </c>
      <c r="B38" t="s">
        <v>26</v>
      </c>
      <c r="C38">
        <v>5.7</v>
      </c>
      <c r="D38" t="s">
        <v>22</v>
      </c>
      <c r="E38" t="s">
        <v>63</v>
      </c>
      <c r="F38" t="s">
        <v>13</v>
      </c>
      <c r="G38">
        <v>6.4</v>
      </c>
      <c r="H38" t="s">
        <v>99</v>
      </c>
      <c r="I38" t="s">
        <v>65</v>
      </c>
      <c r="J38" t="s">
        <v>98</v>
      </c>
      <c r="K38">
        <f>IF(tblPlacement[Placement_Status]="Placed",1,0)</f>
        <v>1</v>
      </c>
      <c r="L38" t="str">
        <f>IF(tblPlacement[CGPA]&gt;=9,"9+", IF(tblPlacement[CGPA]&gt;=8,"8-9",IF(tblPlacement[CGPA]&gt;=7,"7-8","Below 7")))</f>
        <v>Below 7</v>
      </c>
      <c r="M38" t="str">
        <f>IF(tblPlacement[Package_LPA]&gt;=15,"High",IF(tblPlacement[Package_LPA]&gt;=8,"Medium","Low"))</f>
        <v>Low</v>
      </c>
      <c r="N38">
        <f>IF(tblPlacement[Internship]="Yes",1,0)</f>
        <v>0</v>
      </c>
      <c r="P38" t="s">
        <v>313</v>
      </c>
    </row>
    <row r="39" spans="1:16" x14ac:dyDescent="0.3">
      <c r="A39" t="s">
        <v>100</v>
      </c>
      <c r="B39" t="s">
        <v>30</v>
      </c>
      <c r="C39">
        <v>8.5</v>
      </c>
      <c r="D39" t="s">
        <v>11</v>
      </c>
      <c r="E39" t="s">
        <v>31</v>
      </c>
      <c r="F39" t="s">
        <v>13</v>
      </c>
      <c r="G39">
        <v>5.6</v>
      </c>
      <c r="H39" t="s">
        <v>51</v>
      </c>
      <c r="I39" t="s">
        <v>20</v>
      </c>
      <c r="J39" t="s">
        <v>100</v>
      </c>
      <c r="K39">
        <f>IF(tblPlacement[Placement_Status]="Placed",1,0)</f>
        <v>1</v>
      </c>
      <c r="L39" t="str">
        <f>IF(tblPlacement[CGPA]&gt;=9,"9+", IF(tblPlacement[CGPA]&gt;=8,"8-9",IF(tblPlacement[CGPA]&gt;=7,"7-8","Below 7")))</f>
        <v>8-9</v>
      </c>
      <c r="M39" t="str">
        <f>IF(tblPlacement[Package_LPA]&gt;=15,"High",IF(tblPlacement[Package_LPA]&gt;=8,"Medium","Low"))</f>
        <v>Low</v>
      </c>
      <c r="N39">
        <f>IF(tblPlacement[Internship]="Yes",1,0)</f>
        <v>1</v>
      </c>
      <c r="P39" t="s">
        <v>344</v>
      </c>
    </row>
    <row r="40" spans="1:16" x14ac:dyDescent="0.3">
      <c r="A40" t="s">
        <v>101</v>
      </c>
      <c r="B40" t="s">
        <v>20</v>
      </c>
      <c r="C40">
        <v>6.5</v>
      </c>
      <c r="D40" t="s">
        <v>11</v>
      </c>
      <c r="E40" t="s">
        <v>39</v>
      </c>
      <c r="F40" t="s">
        <v>13</v>
      </c>
      <c r="G40">
        <v>15.7</v>
      </c>
      <c r="H40" t="s">
        <v>67</v>
      </c>
      <c r="I40" t="s">
        <v>20</v>
      </c>
      <c r="J40" t="s">
        <v>101</v>
      </c>
      <c r="K40">
        <f>IF(tblPlacement[Placement_Status]="Placed",1,0)</f>
        <v>1</v>
      </c>
      <c r="L40" t="str">
        <f>IF(tblPlacement[CGPA]&gt;=9,"9+", IF(tblPlacement[CGPA]&gt;=8,"8-9",IF(tblPlacement[CGPA]&gt;=7,"7-8","Below 7")))</f>
        <v>Below 7</v>
      </c>
      <c r="M40" t="str">
        <f>IF(tblPlacement[Package_LPA]&gt;=15,"High",IF(tblPlacement[Package_LPA]&gt;=8,"Medium","Low"))</f>
        <v>High</v>
      </c>
      <c r="N40">
        <f>IF(tblPlacement[Internship]="Yes",1,0)</f>
        <v>1</v>
      </c>
      <c r="P40" t="s">
        <v>352</v>
      </c>
    </row>
    <row r="41" spans="1:16" x14ac:dyDescent="0.3">
      <c r="A41" t="s">
        <v>102</v>
      </c>
      <c r="B41" t="s">
        <v>30</v>
      </c>
      <c r="C41">
        <v>7.2</v>
      </c>
      <c r="D41" t="s">
        <v>11</v>
      </c>
      <c r="E41" t="s">
        <v>35</v>
      </c>
      <c r="F41" t="s">
        <v>32</v>
      </c>
      <c r="G41">
        <v>0</v>
      </c>
      <c r="H41" t="s">
        <v>33</v>
      </c>
      <c r="I41" t="s">
        <v>33</v>
      </c>
      <c r="J41" t="s">
        <v>102</v>
      </c>
      <c r="K41">
        <f>IF(tblPlacement[Placement_Status]="Placed",1,0)</f>
        <v>0</v>
      </c>
      <c r="L41" t="str">
        <f>IF(tblPlacement[CGPA]&gt;=9,"9+", IF(tblPlacement[CGPA]&gt;=8,"8-9",IF(tblPlacement[CGPA]&gt;=7,"7-8","Below 7")))</f>
        <v>7-8</v>
      </c>
      <c r="M41" t="str">
        <f>IF(tblPlacement[Package_LPA]&gt;=15,"High",IF(tblPlacement[Package_LPA]&gt;=8,"Medium","Low"))</f>
        <v>Low</v>
      </c>
      <c r="N41">
        <f>IF(tblPlacement[Internship]="Yes",1,0)</f>
        <v>1</v>
      </c>
      <c r="P41" t="s">
        <v>358</v>
      </c>
    </row>
    <row r="42" spans="1:16" x14ac:dyDescent="0.3">
      <c r="A42" t="s">
        <v>103</v>
      </c>
      <c r="B42" t="s">
        <v>10</v>
      </c>
      <c r="C42">
        <v>5.9</v>
      </c>
      <c r="D42" t="s">
        <v>11</v>
      </c>
      <c r="E42" t="s">
        <v>18</v>
      </c>
      <c r="F42" t="s">
        <v>13</v>
      </c>
      <c r="G42">
        <v>8.3000000000000007</v>
      </c>
      <c r="H42" t="s">
        <v>104</v>
      </c>
      <c r="I42" t="s">
        <v>15</v>
      </c>
      <c r="J42" t="s">
        <v>103</v>
      </c>
      <c r="K42">
        <f>IF(tblPlacement[Placement_Status]="Placed",1,0)</f>
        <v>1</v>
      </c>
      <c r="L42" t="str">
        <f>IF(tblPlacement[CGPA]&gt;=9,"9+", IF(tblPlacement[CGPA]&gt;=8,"8-9",IF(tblPlacement[CGPA]&gt;=7,"7-8","Below 7")))</f>
        <v>Below 7</v>
      </c>
      <c r="M42" t="str">
        <f>IF(tblPlacement[Package_LPA]&gt;=15,"High",IF(tblPlacement[Package_LPA]&gt;=8,"Medium","Low"))</f>
        <v>Medium</v>
      </c>
      <c r="N42">
        <f>IF(tblPlacement[Internship]="Yes",1,0)</f>
        <v>1</v>
      </c>
      <c r="P42" t="s">
        <v>368</v>
      </c>
    </row>
    <row r="43" spans="1:16" x14ac:dyDescent="0.3">
      <c r="A43" t="s">
        <v>105</v>
      </c>
      <c r="B43" t="s">
        <v>26</v>
      </c>
      <c r="C43">
        <v>8.9</v>
      </c>
      <c r="D43" t="s">
        <v>22</v>
      </c>
      <c r="E43" t="s">
        <v>39</v>
      </c>
      <c r="F43" t="s">
        <v>13</v>
      </c>
      <c r="G43">
        <v>11.7</v>
      </c>
      <c r="H43" t="s">
        <v>91</v>
      </c>
      <c r="I43" t="s">
        <v>26</v>
      </c>
      <c r="J43" t="s">
        <v>105</v>
      </c>
      <c r="K43">
        <f>IF(tblPlacement[Placement_Status]="Placed",1,0)</f>
        <v>1</v>
      </c>
      <c r="L43" t="str">
        <f>IF(tblPlacement[CGPA]&gt;=9,"9+", IF(tblPlacement[CGPA]&gt;=8,"8-9",IF(tblPlacement[CGPA]&gt;=7,"7-8","Below 7")))</f>
        <v>8-9</v>
      </c>
      <c r="M43" t="str">
        <f>IF(tblPlacement[Package_LPA]&gt;=15,"High",IF(tblPlacement[Package_LPA]&gt;=8,"Medium","Low"))</f>
        <v>Medium</v>
      </c>
      <c r="N43">
        <f>IF(tblPlacement[Internship]="Yes",1,0)</f>
        <v>0</v>
      </c>
      <c r="P43" t="s">
        <v>386</v>
      </c>
    </row>
    <row r="44" spans="1:16" x14ac:dyDescent="0.3">
      <c r="A44" t="s">
        <v>106</v>
      </c>
      <c r="B44" t="s">
        <v>26</v>
      </c>
      <c r="C44">
        <v>7.1</v>
      </c>
      <c r="D44" t="s">
        <v>22</v>
      </c>
      <c r="E44" t="s">
        <v>97</v>
      </c>
      <c r="F44" t="s">
        <v>32</v>
      </c>
      <c r="G44">
        <v>0</v>
      </c>
      <c r="H44" t="s">
        <v>33</v>
      </c>
      <c r="I44" t="s">
        <v>33</v>
      </c>
      <c r="J44" t="s">
        <v>106</v>
      </c>
      <c r="K44">
        <f>IF(tblPlacement[Placement_Status]="Placed",1,0)</f>
        <v>0</v>
      </c>
      <c r="L44" t="str">
        <f>IF(tblPlacement[CGPA]&gt;=9,"9+", IF(tblPlacement[CGPA]&gt;=8,"8-9",IF(tblPlacement[CGPA]&gt;=7,"7-8","Below 7")))</f>
        <v>7-8</v>
      </c>
      <c r="M44" t="str">
        <f>IF(tblPlacement[Package_LPA]&gt;=15,"High",IF(tblPlacement[Package_LPA]&gt;=8,"Medium","Low"))</f>
        <v>Low</v>
      </c>
      <c r="N44">
        <f>IF(tblPlacement[Internship]="Yes",1,0)</f>
        <v>0</v>
      </c>
      <c r="P44" t="s">
        <v>434</v>
      </c>
    </row>
    <row r="45" spans="1:16" x14ac:dyDescent="0.3">
      <c r="A45" t="s">
        <v>107</v>
      </c>
      <c r="B45" t="s">
        <v>17</v>
      </c>
      <c r="C45">
        <v>5.9</v>
      </c>
      <c r="D45" t="s">
        <v>22</v>
      </c>
      <c r="E45" t="s">
        <v>23</v>
      </c>
      <c r="F45" t="s">
        <v>32</v>
      </c>
      <c r="G45">
        <v>0</v>
      </c>
      <c r="H45" t="s">
        <v>33</v>
      </c>
      <c r="I45" t="s">
        <v>33</v>
      </c>
      <c r="J45" t="s">
        <v>107</v>
      </c>
      <c r="K45">
        <f>IF(tblPlacement[Placement_Status]="Placed",1,0)</f>
        <v>0</v>
      </c>
      <c r="L45" t="str">
        <f>IF(tblPlacement[CGPA]&gt;=9,"9+", IF(tblPlacement[CGPA]&gt;=8,"8-9",IF(tblPlacement[CGPA]&gt;=7,"7-8","Below 7")))</f>
        <v>Below 7</v>
      </c>
      <c r="M45" t="str">
        <f>IF(tblPlacement[Package_LPA]&gt;=15,"High",IF(tblPlacement[Package_LPA]&gt;=8,"Medium","Low"))</f>
        <v>Low</v>
      </c>
      <c r="N45">
        <f>IF(tblPlacement[Internship]="Yes",1,0)</f>
        <v>0</v>
      </c>
      <c r="P45" t="s">
        <v>484</v>
      </c>
    </row>
    <row r="46" spans="1:16" x14ac:dyDescent="0.3">
      <c r="A46" t="s">
        <v>108</v>
      </c>
      <c r="B46" t="s">
        <v>17</v>
      </c>
      <c r="C46">
        <v>8.6</v>
      </c>
      <c r="D46" t="s">
        <v>11</v>
      </c>
      <c r="E46" t="s">
        <v>86</v>
      </c>
      <c r="F46" t="s">
        <v>13</v>
      </c>
      <c r="G46">
        <v>7.1</v>
      </c>
      <c r="H46" t="s">
        <v>24</v>
      </c>
      <c r="I46" t="s">
        <v>20</v>
      </c>
      <c r="J46" t="s">
        <v>108</v>
      </c>
      <c r="K46">
        <f>IF(tblPlacement[Placement_Status]="Placed",1,0)</f>
        <v>1</v>
      </c>
      <c r="L46" t="str">
        <f>IF(tblPlacement[CGPA]&gt;=9,"9+", IF(tblPlacement[CGPA]&gt;=8,"8-9",IF(tblPlacement[CGPA]&gt;=7,"7-8","Below 7")))</f>
        <v>8-9</v>
      </c>
      <c r="M46" t="str">
        <f>IF(tblPlacement[Package_LPA]&gt;=15,"High",IF(tblPlacement[Package_LPA]&gt;=8,"Medium","Low"))</f>
        <v>Low</v>
      </c>
      <c r="N46">
        <f>IF(tblPlacement[Internship]="Yes",1,0)</f>
        <v>1</v>
      </c>
      <c r="P46" t="s">
        <v>496</v>
      </c>
    </row>
    <row r="47" spans="1:16" x14ac:dyDescent="0.3">
      <c r="A47" t="s">
        <v>109</v>
      </c>
      <c r="B47" t="s">
        <v>10</v>
      </c>
      <c r="C47">
        <v>7</v>
      </c>
      <c r="D47" t="s">
        <v>11</v>
      </c>
      <c r="E47" t="s">
        <v>110</v>
      </c>
      <c r="F47" t="s">
        <v>13</v>
      </c>
      <c r="G47">
        <v>6.7</v>
      </c>
      <c r="H47" t="s">
        <v>41</v>
      </c>
      <c r="I47" t="s">
        <v>15</v>
      </c>
      <c r="J47" t="s">
        <v>109</v>
      </c>
      <c r="K47">
        <f>IF(tblPlacement[Placement_Status]="Placed",1,0)</f>
        <v>1</v>
      </c>
      <c r="L47" t="str">
        <f>IF(tblPlacement[CGPA]&gt;=9,"9+", IF(tblPlacement[CGPA]&gt;=8,"8-9",IF(tblPlacement[CGPA]&gt;=7,"7-8","Below 7")))</f>
        <v>7-8</v>
      </c>
      <c r="M47" t="str">
        <f>IF(tblPlacement[Package_LPA]&gt;=15,"High",IF(tblPlacement[Package_LPA]&gt;=8,"Medium","Low"))</f>
        <v>Low</v>
      </c>
      <c r="N47">
        <f>IF(tblPlacement[Internship]="Yes",1,0)</f>
        <v>1</v>
      </c>
    </row>
    <row r="48" spans="1:16" x14ac:dyDescent="0.3">
      <c r="A48" t="s">
        <v>111</v>
      </c>
      <c r="B48" t="s">
        <v>10</v>
      </c>
      <c r="C48">
        <v>7</v>
      </c>
      <c r="D48" t="s">
        <v>11</v>
      </c>
      <c r="E48" t="s">
        <v>112</v>
      </c>
      <c r="F48" t="s">
        <v>32</v>
      </c>
      <c r="G48">
        <v>0</v>
      </c>
      <c r="H48" t="s">
        <v>33</v>
      </c>
      <c r="I48" t="s">
        <v>33</v>
      </c>
      <c r="J48" t="s">
        <v>111</v>
      </c>
      <c r="K48">
        <f>IF(tblPlacement[Placement_Status]="Placed",1,0)</f>
        <v>0</v>
      </c>
      <c r="L48" t="str">
        <f>IF(tblPlacement[CGPA]&gt;=9,"9+", IF(tblPlacement[CGPA]&gt;=8,"8-9",IF(tblPlacement[CGPA]&gt;=7,"7-8","Below 7")))</f>
        <v>7-8</v>
      </c>
      <c r="M48" t="str">
        <f>IF(tblPlacement[Package_LPA]&gt;=15,"High",IF(tblPlacement[Package_LPA]&gt;=8,"Medium","Low"))</f>
        <v>Low</v>
      </c>
      <c r="N48">
        <f>IF(tblPlacement[Internship]="Yes",1,0)</f>
        <v>1</v>
      </c>
    </row>
    <row r="49" spans="1:14" x14ac:dyDescent="0.3">
      <c r="A49" t="s">
        <v>113</v>
      </c>
      <c r="B49" t="s">
        <v>17</v>
      </c>
      <c r="C49">
        <v>8.1999999999999993</v>
      </c>
      <c r="D49" t="s">
        <v>11</v>
      </c>
      <c r="E49" t="s">
        <v>39</v>
      </c>
      <c r="F49" t="s">
        <v>32</v>
      </c>
      <c r="G49">
        <v>0</v>
      </c>
      <c r="H49" t="s">
        <v>33</v>
      </c>
      <c r="I49" t="s">
        <v>33</v>
      </c>
      <c r="J49" t="s">
        <v>113</v>
      </c>
      <c r="K49">
        <f>IF(tblPlacement[Placement_Status]="Placed",1,0)</f>
        <v>0</v>
      </c>
      <c r="L49" t="str">
        <f>IF(tblPlacement[CGPA]&gt;=9,"9+", IF(tblPlacement[CGPA]&gt;=8,"8-9",IF(tblPlacement[CGPA]&gt;=7,"7-8","Below 7")))</f>
        <v>8-9</v>
      </c>
      <c r="M49" t="str">
        <f>IF(tblPlacement[Package_LPA]&gt;=15,"High",IF(tblPlacement[Package_LPA]&gt;=8,"Medium","Low"))</f>
        <v>Low</v>
      </c>
      <c r="N49">
        <f>IF(tblPlacement[Internship]="Yes",1,0)</f>
        <v>1</v>
      </c>
    </row>
    <row r="50" spans="1:14" x14ac:dyDescent="0.3">
      <c r="A50" t="s">
        <v>114</v>
      </c>
      <c r="B50" t="s">
        <v>17</v>
      </c>
      <c r="C50">
        <v>9.6999999999999993</v>
      </c>
      <c r="D50" t="s">
        <v>11</v>
      </c>
      <c r="E50" t="s">
        <v>80</v>
      </c>
      <c r="F50" t="s">
        <v>13</v>
      </c>
      <c r="G50">
        <v>17.899999999999999</v>
      </c>
      <c r="H50" t="s">
        <v>115</v>
      </c>
      <c r="I50" t="s">
        <v>20</v>
      </c>
      <c r="J50" t="s">
        <v>114</v>
      </c>
      <c r="K50">
        <f>IF(tblPlacement[Placement_Status]="Placed",1,0)</f>
        <v>1</v>
      </c>
      <c r="L50" t="str">
        <f>IF(tblPlacement[CGPA]&gt;=9,"9+", IF(tblPlacement[CGPA]&gt;=8,"8-9",IF(tblPlacement[CGPA]&gt;=7,"7-8","Below 7")))</f>
        <v>9+</v>
      </c>
      <c r="M50" t="str">
        <f>IF(tblPlacement[Package_LPA]&gt;=15,"High",IF(tblPlacement[Package_LPA]&gt;=8,"Medium","Low"))</f>
        <v>High</v>
      </c>
      <c r="N50">
        <f>IF(tblPlacement[Internship]="Yes",1,0)</f>
        <v>1</v>
      </c>
    </row>
    <row r="51" spans="1:14" x14ac:dyDescent="0.3">
      <c r="A51" t="s">
        <v>116</v>
      </c>
      <c r="B51" t="s">
        <v>30</v>
      </c>
      <c r="C51">
        <v>7.6</v>
      </c>
      <c r="D51" t="s">
        <v>11</v>
      </c>
      <c r="E51" t="s">
        <v>18</v>
      </c>
      <c r="F51" t="s">
        <v>13</v>
      </c>
      <c r="G51">
        <v>9.6999999999999993</v>
      </c>
      <c r="H51" t="s">
        <v>89</v>
      </c>
      <c r="I51" t="s">
        <v>37</v>
      </c>
      <c r="J51" t="s">
        <v>116</v>
      </c>
      <c r="K51">
        <f>IF(tblPlacement[Placement_Status]="Placed",1,0)</f>
        <v>1</v>
      </c>
      <c r="L51" t="str">
        <f>IF(tblPlacement[CGPA]&gt;=9,"9+", IF(tblPlacement[CGPA]&gt;=8,"8-9",IF(tblPlacement[CGPA]&gt;=7,"7-8","Below 7")))</f>
        <v>7-8</v>
      </c>
      <c r="M51" t="str">
        <f>IF(tblPlacement[Package_LPA]&gt;=15,"High",IF(tblPlacement[Package_LPA]&gt;=8,"Medium","Low"))</f>
        <v>Medium</v>
      </c>
      <c r="N51">
        <f>IF(tblPlacement[Internship]="Yes",1,0)</f>
        <v>1</v>
      </c>
    </row>
    <row r="52" spans="1:14" x14ac:dyDescent="0.3">
      <c r="A52" t="s">
        <v>117</v>
      </c>
      <c r="B52" t="s">
        <v>17</v>
      </c>
      <c r="C52">
        <v>8.3000000000000007</v>
      </c>
      <c r="D52" t="s">
        <v>11</v>
      </c>
      <c r="E52" t="s">
        <v>39</v>
      </c>
      <c r="F52" t="s">
        <v>13</v>
      </c>
      <c r="G52">
        <v>12.4</v>
      </c>
      <c r="H52" t="s">
        <v>24</v>
      </c>
      <c r="I52" t="s">
        <v>20</v>
      </c>
      <c r="J52" t="s">
        <v>117</v>
      </c>
      <c r="K52">
        <f>IF(tblPlacement[Placement_Status]="Placed",1,0)</f>
        <v>1</v>
      </c>
      <c r="L52" t="str">
        <f>IF(tblPlacement[CGPA]&gt;=9,"9+", IF(tblPlacement[CGPA]&gt;=8,"8-9",IF(tblPlacement[CGPA]&gt;=7,"7-8","Below 7")))</f>
        <v>8-9</v>
      </c>
      <c r="M52" t="str">
        <f>IF(tblPlacement[Package_LPA]&gt;=15,"High",IF(tblPlacement[Package_LPA]&gt;=8,"Medium","Low"))</f>
        <v>Medium</v>
      </c>
      <c r="N52">
        <f>IF(tblPlacement[Internship]="Yes",1,0)</f>
        <v>1</v>
      </c>
    </row>
    <row r="53" spans="1:14" x14ac:dyDescent="0.3">
      <c r="A53" t="s">
        <v>118</v>
      </c>
      <c r="B53" t="s">
        <v>10</v>
      </c>
      <c r="C53">
        <v>6.7</v>
      </c>
      <c r="D53" t="s">
        <v>22</v>
      </c>
      <c r="E53" t="s">
        <v>60</v>
      </c>
      <c r="F53" t="s">
        <v>13</v>
      </c>
      <c r="G53">
        <v>11.2</v>
      </c>
      <c r="H53" t="s">
        <v>119</v>
      </c>
      <c r="I53" t="s">
        <v>15</v>
      </c>
      <c r="J53" t="s">
        <v>118</v>
      </c>
      <c r="K53">
        <f>IF(tblPlacement[Placement_Status]="Placed",1,0)</f>
        <v>1</v>
      </c>
      <c r="L53" t="str">
        <f>IF(tblPlacement[CGPA]&gt;=9,"9+", IF(tblPlacement[CGPA]&gt;=8,"8-9",IF(tblPlacement[CGPA]&gt;=7,"7-8","Below 7")))</f>
        <v>Below 7</v>
      </c>
      <c r="M53" t="str">
        <f>IF(tblPlacement[Package_LPA]&gt;=15,"High",IF(tblPlacement[Package_LPA]&gt;=8,"Medium","Low"))</f>
        <v>Medium</v>
      </c>
      <c r="N53">
        <f>IF(tblPlacement[Internship]="Yes",1,0)</f>
        <v>0</v>
      </c>
    </row>
    <row r="54" spans="1:14" x14ac:dyDescent="0.3">
      <c r="A54" t="s">
        <v>120</v>
      </c>
      <c r="B54" t="s">
        <v>20</v>
      </c>
      <c r="C54">
        <v>7.7</v>
      </c>
      <c r="D54" t="s">
        <v>11</v>
      </c>
      <c r="E54" t="s">
        <v>80</v>
      </c>
      <c r="F54" t="s">
        <v>13</v>
      </c>
      <c r="G54">
        <v>11.4</v>
      </c>
      <c r="H54" t="s">
        <v>81</v>
      </c>
      <c r="I54" t="s">
        <v>20</v>
      </c>
      <c r="J54" t="s">
        <v>120</v>
      </c>
      <c r="K54">
        <f>IF(tblPlacement[Placement_Status]="Placed",1,0)</f>
        <v>1</v>
      </c>
      <c r="L54" t="str">
        <f>IF(tblPlacement[CGPA]&gt;=9,"9+", IF(tblPlacement[CGPA]&gt;=8,"8-9",IF(tblPlacement[CGPA]&gt;=7,"7-8","Below 7")))</f>
        <v>7-8</v>
      </c>
      <c r="M54" t="str">
        <f>IF(tblPlacement[Package_LPA]&gt;=15,"High",IF(tblPlacement[Package_LPA]&gt;=8,"Medium","Low"))</f>
        <v>Medium</v>
      </c>
      <c r="N54">
        <f>IF(tblPlacement[Internship]="Yes",1,0)</f>
        <v>1</v>
      </c>
    </row>
    <row r="55" spans="1:14" x14ac:dyDescent="0.3">
      <c r="A55" t="s">
        <v>121</v>
      </c>
      <c r="B55" t="s">
        <v>10</v>
      </c>
      <c r="C55">
        <v>7.6</v>
      </c>
      <c r="D55" t="s">
        <v>22</v>
      </c>
      <c r="E55" t="s">
        <v>60</v>
      </c>
      <c r="F55" t="s">
        <v>32</v>
      </c>
      <c r="G55">
        <v>0</v>
      </c>
      <c r="H55" t="s">
        <v>33</v>
      </c>
      <c r="I55" t="s">
        <v>33</v>
      </c>
      <c r="J55" t="s">
        <v>121</v>
      </c>
      <c r="K55">
        <f>IF(tblPlacement[Placement_Status]="Placed",1,0)</f>
        <v>0</v>
      </c>
      <c r="L55" t="str">
        <f>IF(tblPlacement[CGPA]&gt;=9,"9+", IF(tblPlacement[CGPA]&gt;=8,"8-9",IF(tblPlacement[CGPA]&gt;=7,"7-8","Below 7")))</f>
        <v>7-8</v>
      </c>
      <c r="M55" t="str">
        <f>IF(tblPlacement[Package_LPA]&gt;=15,"High",IF(tblPlacement[Package_LPA]&gt;=8,"Medium","Low"))</f>
        <v>Low</v>
      </c>
      <c r="N55">
        <f>IF(tblPlacement[Internship]="Yes",1,0)</f>
        <v>0</v>
      </c>
    </row>
    <row r="56" spans="1:14" x14ac:dyDescent="0.3">
      <c r="A56" t="s">
        <v>122</v>
      </c>
      <c r="B56" t="s">
        <v>20</v>
      </c>
      <c r="C56">
        <v>8.3000000000000007</v>
      </c>
      <c r="D56" t="s">
        <v>22</v>
      </c>
      <c r="E56" t="s">
        <v>23</v>
      </c>
      <c r="F56" t="s">
        <v>32</v>
      </c>
      <c r="G56">
        <v>0</v>
      </c>
      <c r="H56" t="s">
        <v>33</v>
      </c>
      <c r="I56" t="s">
        <v>33</v>
      </c>
      <c r="J56" t="s">
        <v>122</v>
      </c>
      <c r="K56">
        <f>IF(tblPlacement[Placement_Status]="Placed",1,0)</f>
        <v>0</v>
      </c>
      <c r="L56" t="str">
        <f>IF(tblPlacement[CGPA]&gt;=9,"9+", IF(tblPlacement[CGPA]&gt;=8,"8-9",IF(tblPlacement[CGPA]&gt;=7,"7-8","Below 7")))</f>
        <v>8-9</v>
      </c>
      <c r="M56" t="str">
        <f>IF(tblPlacement[Package_LPA]&gt;=15,"High",IF(tblPlacement[Package_LPA]&gt;=8,"Medium","Low"))</f>
        <v>Low</v>
      </c>
      <c r="N56">
        <f>IF(tblPlacement[Internship]="Yes",1,0)</f>
        <v>0</v>
      </c>
    </row>
    <row r="57" spans="1:14" x14ac:dyDescent="0.3">
      <c r="A57" t="s">
        <v>123</v>
      </c>
      <c r="B57" t="s">
        <v>43</v>
      </c>
      <c r="C57">
        <v>8.3000000000000007</v>
      </c>
      <c r="D57" t="s">
        <v>11</v>
      </c>
      <c r="E57" t="s">
        <v>69</v>
      </c>
      <c r="F57" t="s">
        <v>13</v>
      </c>
      <c r="G57">
        <v>10.9</v>
      </c>
      <c r="H57" t="s">
        <v>124</v>
      </c>
      <c r="I57" t="s">
        <v>43</v>
      </c>
      <c r="J57" t="s">
        <v>123</v>
      </c>
      <c r="K57">
        <f>IF(tblPlacement[Placement_Status]="Placed",1,0)</f>
        <v>1</v>
      </c>
      <c r="L57" t="str">
        <f>IF(tblPlacement[CGPA]&gt;=9,"9+", IF(tblPlacement[CGPA]&gt;=8,"8-9",IF(tblPlacement[CGPA]&gt;=7,"7-8","Below 7")))</f>
        <v>8-9</v>
      </c>
      <c r="M57" t="str">
        <f>IF(tblPlacement[Package_LPA]&gt;=15,"High",IF(tblPlacement[Package_LPA]&gt;=8,"Medium","Low"))</f>
        <v>Medium</v>
      </c>
      <c r="N57">
        <f>IF(tblPlacement[Internship]="Yes",1,0)</f>
        <v>1</v>
      </c>
    </row>
    <row r="58" spans="1:14" x14ac:dyDescent="0.3">
      <c r="A58" t="s">
        <v>125</v>
      </c>
      <c r="B58" t="s">
        <v>43</v>
      </c>
      <c r="C58">
        <v>7.3</v>
      </c>
      <c r="D58" t="s">
        <v>22</v>
      </c>
      <c r="E58" t="s">
        <v>69</v>
      </c>
      <c r="F58" t="s">
        <v>32</v>
      </c>
      <c r="G58">
        <v>0</v>
      </c>
      <c r="H58" t="s">
        <v>33</v>
      </c>
      <c r="I58" t="s">
        <v>33</v>
      </c>
      <c r="J58" t="s">
        <v>125</v>
      </c>
      <c r="K58">
        <f>IF(tblPlacement[Placement_Status]="Placed",1,0)</f>
        <v>0</v>
      </c>
      <c r="L58" t="str">
        <f>IF(tblPlacement[CGPA]&gt;=9,"9+", IF(tblPlacement[CGPA]&gt;=8,"8-9",IF(tblPlacement[CGPA]&gt;=7,"7-8","Below 7")))</f>
        <v>7-8</v>
      </c>
      <c r="M58" t="str">
        <f>IF(tblPlacement[Package_LPA]&gt;=15,"High",IF(tblPlacement[Package_LPA]&gt;=8,"Medium","Low"))</f>
        <v>Low</v>
      </c>
      <c r="N58">
        <f>IF(tblPlacement[Internship]="Yes",1,0)</f>
        <v>0</v>
      </c>
    </row>
    <row r="59" spans="1:14" x14ac:dyDescent="0.3">
      <c r="A59" t="s">
        <v>126</v>
      </c>
      <c r="B59" t="s">
        <v>20</v>
      </c>
      <c r="C59">
        <v>7</v>
      </c>
      <c r="D59" t="s">
        <v>11</v>
      </c>
      <c r="E59" t="s">
        <v>18</v>
      </c>
      <c r="F59" t="s">
        <v>32</v>
      </c>
      <c r="G59">
        <v>0</v>
      </c>
      <c r="H59" t="s">
        <v>33</v>
      </c>
      <c r="I59" t="s">
        <v>33</v>
      </c>
      <c r="J59" t="s">
        <v>126</v>
      </c>
      <c r="K59">
        <f>IF(tblPlacement[Placement_Status]="Placed",1,0)</f>
        <v>0</v>
      </c>
      <c r="L59" t="str">
        <f>IF(tblPlacement[CGPA]&gt;=9,"9+", IF(tblPlacement[CGPA]&gt;=8,"8-9",IF(tblPlacement[CGPA]&gt;=7,"7-8","Below 7")))</f>
        <v>7-8</v>
      </c>
      <c r="M59" t="str">
        <f>IF(tblPlacement[Package_LPA]&gt;=15,"High",IF(tblPlacement[Package_LPA]&gt;=8,"Medium","Low"))</f>
        <v>Low</v>
      </c>
      <c r="N59">
        <f>IF(tblPlacement[Internship]="Yes",1,0)</f>
        <v>1</v>
      </c>
    </row>
    <row r="60" spans="1:14" x14ac:dyDescent="0.3">
      <c r="A60" t="s">
        <v>127</v>
      </c>
      <c r="B60" t="s">
        <v>43</v>
      </c>
      <c r="C60">
        <v>9.3000000000000007</v>
      </c>
      <c r="D60" t="s">
        <v>22</v>
      </c>
      <c r="E60" t="s">
        <v>69</v>
      </c>
      <c r="F60" t="s">
        <v>13</v>
      </c>
      <c r="G60">
        <v>10</v>
      </c>
      <c r="H60" t="s">
        <v>128</v>
      </c>
      <c r="I60" t="s">
        <v>43</v>
      </c>
      <c r="J60" t="s">
        <v>127</v>
      </c>
      <c r="K60">
        <f>IF(tblPlacement[Placement_Status]="Placed",1,0)</f>
        <v>1</v>
      </c>
      <c r="L60" t="str">
        <f>IF(tblPlacement[CGPA]&gt;=9,"9+", IF(tblPlacement[CGPA]&gt;=8,"8-9",IF(tblPlacement[CGPA]&gt;=7,"7-8","Below 7")))</f>
        <v>9+</v>
      </c>
      <c r="M60" t="str">
        <f>IF(tblPlacement[Package_LPA]&gt;=15,"High",IF(tblPlacement[Package_LPA]&gt;=8,"Medium","Low"))</f>
        <v>Medium</v>
      </c>
      <c r="N60">
        <f>IF(tblPlacement[Internship]="Yes",1,0)</f>
        <v>0</v>
      </c>
    </row>
    <row r="61" spans="1:14" x14ac:dyDescent="0.3">
      <c r="A61" t="s">
        <v>129</v>
      </c>
      <c r="B61" t="s">
        <v>26</v>
      </c>
      <c r="C61">
        <v>5.8</v>
      </c>
      <c r="D61" t="s">
        <v>11</v>
      </c>
      <c r="E61" t="s">
        <v>84</v>
      </c>
      <c r="F61" t="s">
        <v>32</v>
      </c>
      <c r="G61">
        <v>0</v>
      </c>
      <c r="H61" t="s">
        <v>33</v>
      </c>
      <c r="I61" t="s">
        <v>33</v>
      </c>
      <c r="J61" t="s">
        <v>129</v>
      </c>
      <c r="K61">
        <f>IF(tblPlacement[Placement_Status]="Placed",1,0)</f>
        <v>0</v>
      </c>
      <c r="L61" t="str">
        <f>IF(tblPlacement[CGPA]&gt;=9,"9+", IF(tblPlacement[CGPA]&gt;=8,"8-9",IF(tblPlacement[CGPA]&gt;=7,"7-8","Below 7")))</f>
        <v>Below 7</v>
      </c>
      <c r="M61" t="str">
        <f>IF(tblPlacement[Package_LPA]&gt;=15,"High",IF(tblPlacement[Package_LPA]&gt;=8,"Medium","Low"))</f>
        <v>Low</v>
      </c>
      <c r="N61">
        <f>IF(tblPlacement[Internship]="Yes",1,0)</f>
        <v>1</v>
      </c>
    </row>
    <row r="62" spans="1:14" x14ac:dyDescent="0.3">
      <c r="A62" t="s">
        <v>130</v>
      </c>
      <c r="B62" t="s">
        <v>131</v>
      </c>
      <c r="C62">
        <v>7.9</v>
      </c>
      <c r="D62" t="s">
        <v>22</v>
      </c>
      <c r="E62" t="s">
        <v>132</v>
      </c>
      <c r="F62" t="s">
        <v>32</v>
      </c>
      <c r="G62">
        <v>0</v>
      </c>
      <c r="H62" t="s">
        <v>33</v>
      </c>
      <c r="I62" t="s">
        <v>33</v>
      </c>
      <c r="J62" t="s">
        <v>130</v>
      </c>
      <c r="K62">
        <f>IF(tblPlacement[Placement_Status]="Placed",1,0)</f>
        <v>0</v>
      </c>
      <c r="L62" t="str">
        <f>IF(tblPlacement[CGPA]&gt;=9,"9+", IF(tblPlacement[CGPA]&gt;=8,"8-9",IF(tblPlacement[CGPA]&gt;=7,"7-8","Below 7")))</f>
        <v>7-8</v>
      </c>
      <c r="M62" t="str">
        <f>IF(tblPlacement[Package_LPA]&gt;=15,"High",IF(tblPlacement[Package_LPA]&gt;=8,"Medium","Low"))</f>
        <v>Low</v>
      </c>
      <c r="N62">
        <f>IF(tblPlacement[Internship]="Yes",1,0)</f>
        <v>0</v>
      </c>
    </row>
    <row r="63" spans="1:14" x14ac:dyDescent="0.3">
      <c r="A63" t="s">
        <v>133</v>
      </c>
      <c r="B63" t="s">
        <v>10</v>
      </c>
      <c r="C63">
        <v>7.5</v>
      </c>
      <c r="D63" t="s">
        <v>22</v>
      </c>
      <c r="E63" t="s">
        <v>110</v>
      </c>
      <c r="F63" t="s">
        <v>32</v>
      </c>
      <c r="G63">
        <v>0</v>
      </c>
      <c r="H63" t="s">
        <v>33</v>
      </c>
      <c r="I63" t="s">
        <v>33</v>
      </c>
      <c r="J63" t="s">
        <v>133</v>
      </c>
      <c r="K63">
        <f>IF(tblPlacement[Placement_Status]="Placed",1,0)</f>
        <v>0</v>
      </c>
      <c r="L63" t="str">
        <f>IF(tblPlacement[CGPA]&gt;=9,"9+", IF(tblPlacement[CGPA]&gt;=8,"8-9",IF(tblPlacement[CGPA]&gt;=7,"7-8","Below 7")))</f>
        <v>7-8</v>
      </c>
      <c r="M63" t="str">
        <f>IF(tblPlacement[Package_LPA]&gt;=15,"High",IF(tblPlacement[Package_LPA]&gt;=8,"Medium","Low"))</f>
        <v>Low</v>
      </c>
      <c r="N63">
        <f>IF(tblPlacement[Internship]="Yes",1,0)</f>
        <v>0</v>
      </c>
    </row>
    <row r="64" spans="1:14" x14ac:dyDescent="0.3">
      <c r="A64" t="s">
        <v>134</v>
      </c>
      <c r="B64" t="s">
        <v>43</v>
      </c>
      <c r="C64">
        <v>7.4</v>
      </c>
      <c r="D64" t="s">
        <v>11</v>
      </c>
      <c r="E64" t="s">
        <v>69</v>
      </c>
      <c r="F64" t="s">
        <v>32</v>
      </c>
      <c r="G64">
        <v>0</v>
      </c>
      <c r="H64" t="s">
        <v>33</v>
      </c>
      <c r="I64" t="s">
        <v>33</v>
      </c>
      <c r="J64" t="s">
        <v>134</v>
      </c>
      <c r="K64">
        <f>IF(tblPlacement[Placement_Status]="Placed",1,0)</f>
        <v>0</v>
      </c>
      <c r="L64" t="str">
        <f>IF(tblPlacement[CGPA]&gt;=9,"9+", IF(tblPlacement[CGPA]&gt;=8,"8-9",IF(tblPlacement[CGPA]&gt;=7,"7-8","Below 7")))</f>
        <v>7-8</v>
      </c>
      <c r="M64" t="str">
        <f>IF(tblPlacement[Package_LPA]&gt;=15,"High",IF(tblPlacement[Package_LPA]&gt;=8,"Medium","Low"))</f>
        <v>Low</v>
      </c>
      <c r="N64">
        <f>IF(tblPlacement[Internship]="Yes",1,0)</f>
        <v>1</v>
      </c>
    </row>
    <row r="65" spans="1:14" x14ac:dyDescent="0.3">
      <c r="A65" t="s">
        <v>135</v>
      </c>
      <c r="B65" t="s">
        <v>17</v>
      </c>
      <c r="C65">
        <v>8.8000000000000007</v>
      </c>
      <c r="D65" t="s">
        <v>11</v>
      </c>
      <c r="E65" t="s">
        <v>136</v>
      </c>
      <c r="F65" t="s">
        <v>13</v>
      </c>
      <c r="G65">
        <v>10</v>
      </c>
      <c r="H65" t="s">
        <v>24</v>
      </c>
      <c r="I65" t="s">
        <v>20</v>
      </c>
      <c r="J65" t="s">
        <v>135</v>
      </c>
      <c r="K65">
        <f>IF(tblPlacement[Placement_Status]="Placed",1,0)</f>
        <v>1</v>
      </c>
      <c r="L65" t="str">
        <f>IF(tblPlacement[CGPA]&gt;=9,"9+", IF(tblPlacement[CGPA]&gt;=8,"8-9",IF(tblPlacement[CGPA]&gt;=7,"7-8","Below 7")))</f>
        <v>8-9</v>
      </c>
      <c r="M65" t="str">
        <f>IF(tblPlacement[Package_LPA]&gt;=15,"High",IF(tblPlacement[Package_LPA]&gt;=8,"Medium","Low"))</f>
        <v>Medium</v>
      </c>
      <c r="N65">
        <f>IF(tblPlacement[Internship]="Yes",1,0)</f>
        <v>1</v>
      </c>
    </row>
    <row r="66" spans="1:14" x14ac:dyDescent="0.3">
      <c r="A66" t="s">
        <v>137</v>
      </c>
      <c r="B66" t="s">
        <v>26</v>
      </c>
      <c r="C66">
        <v>5.6</v>
      </c>
      <c r="D66" t="s">
        <v>11</v>
      </c>
      <c r="E66" t="s">
        <v>138</v>
      </c>
      <c r="F66" t="s">
        <v>32</v>
      </c>
      <c r="G66">
        <v>0</v>
      </c>
      <c r="H66" t="s">
        <v>33</v>
      </c>
      <c r="I66" t="s">
        <v>33</v>
      </c>
      <c r="J66" t="s">
        <v>137</v>
      </c>
      <c r="K66">
        <f>IF(tblPlacement[Placement_Status]="Placed",1,0)</f>
        <v>0</v>
      </c>
      <c r="L66" t="str">
        <f>IF(tblPlacement[CGPA]&gt;=9,"9+", IF(tblPlacement[CGPA]&gt;=8,"8-9",IF(tblPlacement[CGPA]&gt;=7,"7-8","Below 7")))</f>
        <v>Below 7</v>
      </c>
      <c r="M66" t="str">
        <f>IF(tblPlacement[Package_LPA]&gt;=15,"High",IF(tblPlacement[Package_LPA]&gt;=8,"Medium","Low"))</f>
        <v>Low</v>
      </c>
      <c r="N66">
        <f>IF(tblPlacement[Internship]="Yes",1,0)</f>
        <v>1</v>
      </c>
    </row>
    <row r="67" spans="1:14" x14ac:dyDescent="0.3">
      <c r="A67" t="s">
        <v>139</v>
      </c>
      <c r="B67" t="s">
        <v>10</v>
      </c>
      <c r="C67">
        <v>5.5</v>
      </c>
      <c r="D67" t="s">
        <v>11</v>
      </c>
      <c r="E67" t="s">
        <v>110</v>
      </c>
      <c r="F67" t="s">
        <v>13</v>
      </c>
      <c r="G67">
        <v>17.399999999999999</v>
      </c>
      <c r="H67" t="s">
        <v>47</v>
      </c>
      <c r="I67" t="s">
        <v>20</v>
      </c>
      <c r="J67" t="s">
        <v>139</v>
      </c>
      <c r="K67">
        <f>IF(tblPlacement[Placement_Status]="Placed",1,0)</f>
        <v>1</v>
      </c>
      <c r="L67" t="str">
        <f>IF(tblPlacement[CGPA]&gt;=9,"9+", IF(tblPlacement[CGPA]&gt;=8,"8-9",IF(tblPlacement[CGPA]&gt;=7,"7-8","Below 7")))</f>
        <v>Below 7</v>
      </c>
      <c r="M67" t="str">
        <f>IF(tblPlacement[Package_LPA]&gt;=15,"High",IF(tblPlacement[Package_LPA]&gt;=8,"Medium","Low"))</f>
        <v>High</v>
      </c>
      <c r="N67">
        <f>IF(tblPlacement[Internship]="Yes",1,0)</f>
        <v>1</v>
      </c>
    </row>
    <row r="68" spans="1:14" x14ac:dyDescent="0.3">
      <c r="A68" t="s">
        <v>140</v>
      </c>
      <c r="B68" t="s">
        <v>30</v>
      </c>
      <c r="C68">
        <v>8.4</v>
      </c>
      <c r="D68" t="s">
        <v>22</v>
      </c>
      <c r="E68" t="s">
        <v>141</v>
      </c>
      <c r="F68" t="s">
        <v>13</v>
      </c>
      <c r="G68">
        <v>14.7</v>
      </c>
      <c r="H68" t="s">
        <v>142</v>
      </c>
      <c r="I68" t="s">
        <v>37</v>
      </c>
      <c r="J68" t="s">
        <v>140</v>
      </c>
      <c r="K68">
        <f>IF(tblPlacement[Placement_Status]="Placed",1,0)</f>
        <v>1</v>
      </c>
      <c r="L68" t="str">
        <f>IF(tblPlacement[CGPA]&gt;=9,"9+", IF(tblPlacement[CGPA]&gt;=8,"8-9",IF(tblPlacement[CGPA]&gt;=7,"7-8","Below 7")))</f>
        <v>8-9</v>
      </c>
      <c r="M68" t="str">
        <f>IF(tblPlacement[Package_LPA]&gt;=15,"High",IF(tblPlacement[Package_LPA]&gt;=8,"Medium","Low"))</f>
        <v>Medium</v>
      </c>
      <c r="N68">
        <f>IF(tblPlacement[Internship]="Yes",1,0)</f>
        <v>0</v>
      </c>
    </row>
    <row r="69" spans="1:14" x14ac:dyDescent="0.3">
      <c r="A69" t="s">
        <v>143</v>
      </c>
      <c r="B69" t="s">
        <v>26</v>
      </c>
      <c r="C69">
        <v>7.1</v>
      </c>
      <c r="D69" t="s">
        <v>22</v>
      </c>
      <c r="E69" t="s">
        <v>144</v>
      </c>
      <c r="F69" t="s">
        <v>32</v>
      </c>
      <c r="G69">
        <v>0</v>
      </c>
      <c r="H69" t="s">
        <v>33</v>
      </c>
      <c r="I69" t="s">
        <v>33</v>
      </c>
      <c r="J69" t="s">
        <v>143</v>
      </c>
      <c r="K69">
        <f>IF(tblPlacement[Placement_Status]="Placed",1,0)</f>
        <v>0</v>
      </c>
      <c r="L69" t="str">
        <f>IF(tblPlacement[CGPA]&gt;=9,"9+", IF(tblPlacement[CGPA]&gt;=8,"8-9",IF(tblPlacement[CGPA]&gt;=7,"7-8","Below 7")))</f>
        <v>7-8</v>
      </c>
      <c r="M69" t="str">
        <f>IF(tblPlacement[Package_LPA]&gt;=15,"High",IF(tblPlacement[Package_LPA]&gt;=8,"Medium","Low"))</f>
        <v>Low</v>
      </c>
      <c r="N69">
        <f>IF(tblPlacement[Internship]="Yes",1,0)</f>
        <v>0</v>
      </c>
    </row>
    <row r="70" spans="1:14" x14ac:dyDescent="0.3">
      <c r="A70" t="s">
        <v>145</v>
      </c>
      <c r="B70" t="s">
        <v>17</v>
      </c>
      <c r="C70">
        <v>7.4</v>
      </c>
      <c r="D70" t="s">
        <v>11</v>
      </c>
      <c r="E70" t="s">
        <v>86</v>
      </c>
      <c r="F70" t="s">
        <v>32</v>
      </c>
      <c r="G70">
        <v>0</v>
      </c>
      <c r="H70" t="s">
        <v>33</v>
      </c>
      <c r="I70" t="s">
        <v>33</v>
      </c>
      <c r="J70" t="s">
        <v>145</v>
      </c>
      <c r="K70">
        <f>IF(tblPlacement[Placement_Status]="Placed",1,0)</f>
        <v>0</v>
      </c>
      <c r="L70" t="str">
        <f>IF(tblPlacement[CGPA]&gt;=9,"9+", IF(tblPlacement[CGPA]&gt;=8,"8-9",IF(tblPlacement[CGPA]&gt;=7,"7-8","Below 7")))</f>
        <v>7-8</v>
      </c>
      <c r="M70" t="str">
        <f>IF(tblPlacement[Package_LPA]&gt;=15,"High",IF(tblPlacement[Package_LPA]&gt;=8,"Medium","Low"))</f>
        <v>Low</v>
      </c>
      <c r="N70">
        <f>IF(tblPlacement[Internship]="Yes",1,0)</f>
        <v>1</v>
      </c>
    </row>
    <row r="71" spans="1:14" x14ac:dyDescent="0.3">
      <c r="A71" t="s">
        <v>146</v>
      </c>
      <c r="B71" t="s">
        <v>43</v>
      </c>
      <c r="C71">
        <v>9.4</v>
      </c>
      <c r="D71" t="s">
        <v>22</v>
      </c>
      <c r="E71" t="s">
        <v>44</v>
      </c>
      <c r="F71" t="s">
        <v>32</v>
      </c>
      <c r="G71">
        <v>0</v>
      </c>
      <c r="H71" t="s">
        <v>33</v>
      </c>
      <c r="I71" t="s">
        <v>33</v>
      </c>
      <c r="J71" t="s">
        <v>146</v>
      </c>
      <c r="K71">
        <f>IF(tblPlacement[Placement_Status]="Placed",1,0)</f>
        <v>0</v>
      </c>
      <c r="L71" t="str">
        <f>IF(tblPlacement[CGPA]&gt;=9,"9+", IF(tblPlacement[CGPA]&gt;=8,"8-9",IF(tblPlacement[CGPA]&gt;=7,"7-8","Below 7")))</f>
        <v>9+</v>
      </c>
      <c r="M71" t="str">
        <f>IF(tblPlacement[Package_LPA]&gt;=15,"High",IF(tblPlacement[Package_LPA]&gt;=8,"Medium","Low"))</f>
        <v>Low</v>
      </c>
      <c r="N71">
        <f>IF(tblPlacement[Internship]="Yes",1,0)</f>
        <v>0</v>
      </c>
    </row>
    <row r="72" spans="1:14" x14ac:dyDescent="0.3">
      <c r="A72" t="s">
        <v>147</v>
      </c>
      <c r="B72" t="s">
        <v>30</v>
      </c>
      <c r="C72">
        <v>8.1999999999999993</v>
      </c>
      <c r="D72" t="s">
        <v>11</v>
      </c>
      <c r="E72" t="s">
        <v>141</v>
      </c>
      <c r="F72" t="s">
        <v>13</v>
      </c>
      <c r="G72">
        <v>9.3000000000000007</v>
      </c>
      <c r="H72" t="s">
        <v>56</v>
      </c>
      <c r="I72" t="s">
        <v>37</v>
      </c>
      <c r="J72" t="s">
        <v>147</v>
      </c>
      <c r="K72">
        <f>IF(tblPlacement[Placement_Status]="Placed",1,0)</f>
        <v>1</v>
      </c>
      <c r="L72" t="str">
        <f>IF(tblPlacement[CGPA]&gt;=9,"9+", IF(tblPlacement[CGPA]&gt;=8,"8-9",IF(tblPlacement[CGPA]&gt;=7,"7-8","Below 7")))</f>
        <v>8-9</v>
      </c>
      <c r="M72" t="str">
        <f>IF(tblPlacement[Package_LPA]&gt;=15,"High",IF(tblPlacement[Package_LPA]&gt;=8,"Medium","Low"))</f>
        <v>Medium</v>
      </c>
      <c r="N72">
        <f>IF(tblPlacement[Internship]="Yes",1,0)</f>
        <v>1</v>
      </c>
    </row>
    <row r="73" spans="1:14" x14ac:dyDescent="0.3">
      <c r="A73" t="s">
        <v>148</v>
      </c>
      <c r="B73" t="s">
        <v>17</v>
      </c>
      <c r="C73">
        <v>6.7</v>
      </c>
      <c r="D73" t="s">
        <v>22</v>
      </c>
      <c r="E73" t="s">
        <v>86</v>
      </c>
      <c r="F73" t="s">
        <v>13</v>
      </c>
      <c r="G73">
        <v>16.5</v>
      </c>
      <c r="H73" t="s">
        <v>24</v>
      </c>
      <c r="I73" t="s">
        <v>20</v>
      </c>
      <c r="J73" t="s">
        <v>148</v>
      </c>
      <c r="K73">
        <f>IF(tblPlacement[Placement_Status]="Placed",1,0)</f>
        <v>1</v>
      </c>
      <c r="L73" t="str">
        <f>IF(tblPlacement[CGPA]&gt;=9,"9+", IF(tblPlacement[CGPA]&gt;=8,"8-9",IF(tblPlacement[CGPA]&gt;=7,"7-8","Below 7")))</f>
        <v>Below 7</v>
      </c>
      <c r="M73" t="str">
        <f>IF(tblPlacement[Package_LPA]&gt;=15,"High",IF(tblPlacement[Package_LPA]&gt;=8,"Medium","Low"))</f>
        <v>High</v>
      </c>
      <c r="N73">
        <f>IF(tblPlacement[Internship]="Yes",1,0)</f>
        <v>0</v>
      </c>
    </row>
    <row r="74" spans="1:14" x14ac:dyDescent="0.3">
      <c r="A74" t="s">
        <v>149</v>
      </c>
      <c r="B74" t="s">
        <v>30</v>
      </c>
      <c r="C74">
        <v>8.6</v>
      </c>
      <c r="D74" t="s">
        <v>11</v>
      </c>
      <c r="E74" t="s">
        <v>23</v>
      </c>
      <c r="F74" t="s">
        <v>13</v>
      </c>
      <c r="G74">
        <v>16.7</v>
      </c>
      <c r="H74" t="s">
        <v>51</v>
      </c>
      <c r="I74" t="s">
        <v>20</v>
      </c>
      <c r="J74" t="s">
        <v>149</v>
      </c>
      <c r="K74">
        <f>IF(tblPlacement[Placement_Status]="Placed",1,0)</f>
        <v>1</v>
      </c>
      <c r="L74" t="str">
        <f>IF(tblPlacement[CGPA]&gt;=9,"9+", IF(tblPlacement[CGPA]&gt;=8,"8-9",IF(tblPlacement[CGPA]&gt;=7,"7-8","Below 7")))</f>
        <v>8-9</v>
      </c>
      <c r="M74" t="str">
        <f>IF(tblPlacement[Package_LPA]&gt;=15,"High",IF(tblPlacement[Package_LPA]&gt;=8,"Medium","Low"))</f>
        <v>High</v>
      </c>
      <c r="N74">
        <f>IF(tblPlacement[Internship]="Yes",1,0)</f>
        <v>1</v>
      </c>
    </row>
    <row r="75" spans="1:14" x14ac:dyDescent="0.3">
      <c r="A75" t="s">
        <v>150</v>
      </c>
      <c r="B75" t="s">
        <v>26</v>
      </c>
      <c r="C75">
        <v>6.1</v>
      </c>
      <c r="D75" t="s">
        <v>11</v>
      </c>
      <c r="E75" t="s">
        <v>97</v>
      </c>
      <c r="F75" t="s">
        <v>13</v>
      </c>
      <c r="G75">
        <v>8.3000000000000007</v>
      </c>
      <c r="H75" t="s">
        <v>151</v>
      </c>
      <c r="I75" t="s">
        <v>26</v>
      </c>
      <c r="J75" t="s">
        <v>150</v>
      </c>
      <c r="K75">
        <f>IF(tblPlacement[Placement_Status]="Placed",1,0)</f>
        <v>1</v>
      </c>
      <c r="L75" t="str">
        <f>IF(tblPlacement[CGPA]&gt;=9,"9+", IF(tblPlacement[CGPA]&gt;=8,"8-9",IF(tblPlacement[CGPA]&gt;=7,"7-8","Below 7")))</f>
        <v>Below 7</v>
      </c>
      <c r="M75" t="str">
        <f>IF(tblPlacement[Package_LPA]&gt;=15,"High",IF(tblPlacement[Package_LPA]&gt;=8,"Medium","Low"))</f>
        <v>Medium</v>
      </c>
      <c r="N75">
        <f>IF(tblPlacement[Internship]="Yes",1,0)</f>
        <v>1</v>
      </c>
    </row>
    <row r="76" spans="1:14" x14ac:dyDescent="0.3">
      <c r="A76" t="s">
        <v>152</v>
      </c>
      <c r="B76" t="s">
        <v>17</v>
      </c>
      <c r="C76">
        <v>6.9</v>
      </c>
      <c r="D76" t="s">
        <v>22</v>
      </c>
      <c r="E76" t="s">
        <v>46</v>
      </c>
      <c r="F76" t="s">
        <v>32</v>
      </c>
      <c r="G76">
        <v>0</v>
      </c>
      <c r="H76" t="s">
        <v>33</v>
      </c>
      <c r="I76" t="s">
        <v>33</v>
      </c>
      <c r="J76" t="s">
        <v>152</v>
      </c>
      <c r="K76">
        <f>IF(tblPlacement[Placement_Status]="Placed",1,0)</f>
        <v>0</v>
      </c>
      <c r="L76" t="str">
        <f>IF(tblPlacement[CGPA]&gt;=9,"9+", IF(tblPlacement[CGPA]&gt;=8,"8-9",IF(tblPlacement[CGPA]&gt;=7,"7-8","Below 7")))</f>
        <v>Below 7</v>
      </c>
      <c r="M76" t="str">
        <f>IF(tblPlacement[Package_LPA]&gt;=15,"High",IF(tblPlacement[Package_LPA]&gt;=8,"Medium","Low"))</f>
        <v>Low</v>
      </c>
      <c r="N76">
        <f>IF(tblPlacement[Internship]="Yes",1,0)</f>
        <v>0</v>
      </c>
    </row>
    <row r="77" spans="1:14" x14ac:dyDescent="0.3">
      <c r="A77" t="s">
        <v>153</v>
      </c>
      <c r="B77" t="s">
        <v>17</v>
      </c>
      <c r="C77">
        <v>6.6</v>
      </c>
      <c r="D77" t="s">
        <v>11</v>
      </c>
      <c r="E77" t="s">
        <v>80</v>
      </c>
      <c r="F77" t="s">
        <v>13</v>
      </c>
      <c r="G77">
        <v>18.8</v>
      </c>
      <c r="H77" t="s">
        <v>47</v>
      </c>
      <c r="I77" t="s">
        <v>20</v>
      </c>
      <c r="J77" t="s">
        <v>153</v>
      </c>
      <c r="K77">
        <f>IF(tblPlacement[Placement_Status]="Placed",1,0)</f>
        <v>1</v>
      </c>
      <c r="L77" t="str">
        <f>IF(tblPlacement[CGPA]&gt;=9,"9+", IF(tblPlacement[CGPA]&gt;=8,"8-9",IF(tblPlacement[CGPA]&gt;=7,"7-8","Below 7")))</f>
        <v>Below 7</v>
      </c>
      <c r="M77" t="str">
        <f>IF(tblPlacement[Package_LPA]&gt;=15,"High",IF(tblPlacement[Package_LPA]&gt;=8,"Medium","Low"))</f>
        <v>High</v>
      </c>
      <c r="N77">
        <f>IF(tblPlacement[Internship]="Yes",1,0)</f>
        <v>1</v>
      </c>
    </row>
    <row r="78" spans="1:14" x14ac:dyDescent="0.3">
      <c r="A78" t="s">
        <v>154</v>
      </c>
      <c r="B78" t="s">
        <v>17</v>
      </c>
      <c r="C78">
        <v>7.9</v>
      </c>
      <c r="D78" t="s">
        <v>22</v>
      </c>
      <c r="E78" t="s">
        <v>136</v>
      </c>
      <c r="F78" t="s">
        <v>13</v>
      </c>
      <c r="G78">
        <v>16.3</v>
      </c>
      <c r="H78" t="s">
        <v>72</v>
      </c>
      <c r="I78" t="s">
        <v>20</v>
      </c>
      <c r="J78" t="s">
        <v>154</v>
      </c>
      <c r="K78">
        <f>IF(tblPlacement[Placement_Status]="Placed",1,0)</f>
        <v>1</v>
      </c>
      <c r="L78" t="str">
        <f>IF(tblPlacement[CGPA]&gt;=9,"9+", IF(tblPlacement[CGPA]&gt;=8,"8-9",IF(tblPlacement[CGPA]&gt;=7,"7-8","Below 7")))</f>
        <v>7-8</v>
      </c>
      <c r="M78" t="str">
        <f>IF(tblPlacement[Package_LPA]&gt;=15,"High",IF(tblPlacement[Package_LPA]&gt;=8,"Medium","Low"))</f>
        <v>High</v>
      </c>
      <c r="N78">
        <f>IF(tblPlacement[Internship]="Yes",1,0)</f>
        <v>0</v>
      </c>
    </row>
    <row r="79" spans="1:14" x14ac:dyDescent="0.3">
      <c r="A79" t="s">
        <v>155</v>
      </c>
      <c r="B79" t="s">
        <v>30</v>
      </c>
      <c r="C79">
        <v>5.4</v>
      </c>
      <c r="D79" t="s">
        <v>11</v>
      </c>
      <c r="E79" t="s">
        <v>23</v>
      </c>
      <c r="F79" t="s">
        <v>13</v>
      </c>
      <c r="G79">
        <v>15.4</v>
      </c>
      <c r="H79" t="s">
        <v>142</v>
      </c>
      <c r="I79" t="s">
        <v>37</v>
      </c>
      <c r="J79" t="s">
        <v>155</v>
      </c>
      <c r="K79">
        <f>IF(tblPlacement[Placement_Status]="Placed",1,0)</f>
        <v>1</v>
      </c>
      <c r="L79" t="str">
        <f>IF(tblPlacement[CGPA]&gt;=9,"9+", IF(tblPlacement[CGPA]&gt;=8,"8-9",IF(tblPlacement[CGPA]&gt;=7,"7-8","Below 7")))</f>
        <v>Below 7</v>
      </c>
      <c r="M79" t="str">
        <f>IF(tblPlacement[Package_LPA]&gt;=15,"High",IF(tblPlacement[Package_LPA]&gt;=8,"Medium","Low"))</f>
        <v>High</v>
      </c>
      <c r="N79">
        <f>IF(tblPlacement[Internship]="Yes",1,0)</f>
        <v>1</v>
      </c>
    </row>
    <row r="80" spans="1:14" x14ac:dyDescent="0.3">
      <c r="A80" t="s">
        <v>156</v>
      </c>
      <c r="B80" t="s">
        <v>17</v>
      </c>
      <c r="C80">
        <v>9.6</v>
      </c>
      <c r="D80" t="s">
        <v>22</v>
      </c>
      <c r="E80" t="s">
        <v>76</v>
      </c>
      <c r="F80" t="s">
        <v>32</v>
      </c>
      <c r="G80">
        <v>0</v>
      </c>
      <c r="H80" t="s">
        <v>33</v>
      </c>
      <c r="I80" t="s">
        <v>33</v>
      </c>
      <c r="J80" t="s">
        <v>156</v>
      </c>
      <c r="K80">
        <f>IF(tblPlacement[Placement_Status]="Placed",1,0)</f>
        <v>0</v>
      </c>
      <c r="L80" t="str">
        <f>IF(tblPlacement[CGPA]&gt;=9,"9+", IF(tblPlacement[CGPA]&gt;=8,"8-9",IF(tblPlacement[CGPA]&gt;=7,"7-8","Below 7")))</f>
        <v>9+</v>
      </c>
      <c r="M80" t="str">
        <f>IF(tblPlacement[Package_LPA]&gt;=15,"High",IF(tblPlacement[Package_LPA]&gt;=8,"Medium","Low"))</f>
        <v>Low</v>
      </c>
      <c r="N80">
        <f>IF(tblPlacement[Internship]="Yes",1,0)</f>
        <v>0</v>
      </c>
    </row>
    <row r="81" spans="1:14" x14ac:dyDescent="0.3">
      <c r="A81" t="s">
        <v>157</v>
      </c>
      <c r="B81" t="s">
        <v>20</v>
      </c>
      <c r="C81">
        <v>8.6</v>
      </c>
      <c r="D81" t="s">
        <v>22</v>
      </c>
      <c r="E81" t="s">
        <v>80</v>
      </c>
      <c r="F81" t="s">
        <v>13</v>
      </c>
      <c r="G81">
        <v>11.1</v>
      </c>
      <c r="H81" t="s">
        <v>81</v>
      </c>
      <c r="I81" t="s">
        <v>20</v>
      </c>
      <c r="J81" t="s">
        <v>157</v>
      </c>
      <c r="K81">
        <f>IF(tblPlacement[Placement_Status]="Placed",1,0)</f>
        <v>1</v>
      </c>
      <c r="L81" t="str">
        <f>IF(tblPlacement[CGPA]&gt;=9,"9+", IF(tblPlacement[CGPA]&gt;=8,"8-9",IF(tblPlacement[CGPA]&gt;=7,"7-8","Below 7")))</f>
        <v>8-9</v>
      </c>
      <c r="M81" t="str">
        <f>IF(tblPlacement[Package_LPA]&gt;=15,"High",IF(tblPlacement[Package_LPA]&gt;=8,"Medium","Low"))</f>
        <v>Medium</v>
      </c>
      <c r="N81">
        <f>IF(tblPlacement[Internship]="Yes",1,0)</f>
        <v>0</v>
      </c>
    </row>
    <row r="82" spans="1:14" x14ac:dyDescent="0.3">
      <c r="A82" t="s">
        <v>158</v>
      </c>
      <c r="B82" t="s">
        <v>10</v>
      </c>
      <c r="C82">
        <v>6.4</v>
      </c>
      <c r="D82" t="s">
        <v>22</v>
      </c>
      <c r="E82" t="s">
        <v>112</v>
      </c>
      <c r="F82" t="s">
        <v>13</v>
      </c>
      <c r="G82">
        <v>10.7</v>
      </c>
      <c r="H82" t="s">
        <v>159</v>
      </c>
      <c r="I82" t="s">
        <v>15</v>
      </c>
      <c r="J82" t="s">
        <v>158</v>
      </c>
      <c r="K82">
        <f>IF(tblPlacement[Placement_Status]="Placed",1,0)</f>
        <v>1</v>
      </c>
      <c r="L82" t="str">
        <f>IF(tblPlacement[CGPA]&gt;=9,"9+", IF(tblPlacement[CGPA]&gt;=8,"8-9",IF(tblPlacement[CGPA]&gt;=7,"7-8","Below 7")))</f>
        <v>Below 7</v>
      </c>
      <c r="M82" t="str">
        <f>IF(tblPlacement[Package_LPA]&gt;=15,"High",IF(tblPlacement[Package_LPA]&gt;=8,"Medium","Low"))</f>
        <v>Medium</v>
      </c>
      <c r="N82">
        <f>IF(tblPlacement[Internship]="Yes",1,0)</f>
        <v>0</v>
      </c>
    </row>
    <row r="83" spans="1:14" x14ac:dyDescent="0.3">
      <c r="A83" t="s">
        <v>160</v>
      </c>
      <c r="B83" t="s">
        <v>10</v>
      </c>
      <c r="C83">
        <v>6.7</v>
      </c>
      <c r="D83" t="s">
        <v>11</v>
      </c>
      <c r="E83" t="s">
        <v>18</v>
      </c>
      <c r="F83" t="s">
        <v>13</v>
      </c>
      <c r="G83">
        <v>8.6</v>
      </c>
      <c r="H83" t="s">
        <v>161</v>
      </c>
      <c r="I83" t="s">
        <v>15</v>
      </c>
      <c r="J83" t="s">
        <v>160</v>
      </c>
      <c r="K83">
        <f>IF(tblPlacement[Placement_Status]="Placed",1,0)</f>
        <v>1</v>
      </c>
      <c r="L83" t="str">
        <f>IF(tblPlacement[CGPA]&gt;=9,"9+", IF(tblPlacement[CGPA]&gt;=8,"8-9",IF(tblPlacement[CGPA]&gt;=7,"7-8","Below 7")))</f>
        <v>Below 7</v>
      </c>
      <c r="M83" t="str">
        <f>IF(tblPlacement[Package_LPA]&gt;=15,"High",IF(tblPlacement[Package_LPA]&gt;=8,"Medium","Low"))</f>
        <v>Medium</v>
      </c>
      <c r="N83">
        <f>IF(tblPlacement[Internship]="Yes",1,0)</f>
        <v>1</v>
      </c>
    </row>
    <row r="84" spans="1:14" x14ac:dyDescent="0.3">
      <c r="A84" t="s">
        <v>162</v>
      </c>
      <c r="B84" t="s">
        <v>26</v>
      </c>
      <c r="C84">
        <v>8.4</v>
      </c>
      <c r="D84" t="s">
        <v>11</v>
      </c>
      <c r="E84" t="s">
        <v>44</v>
      </c>
      <c r="F84" t="s">
        <v>13</v>
      </c>
      <c r="G84">
        <v>8.8000000000000007</v>
      </c>
      <c r="H84" t="s">
        <v>163</v>
      </c>
      <c r="I84" t="s">
        <v>26</v>
      </c>
      <c r="J84" t="s">
        <v>162</v>
      </c>
      <c r="K84">
        <f>IF(tblPlacement[Placement_Status]="Placed",1,0)</f>
        <v>1</v>
      </c>
      <c r="L84" t="str">
        <f>IF(tblPlacement[CGPA]&gt;=9,"9+", IF(tblPlacement[CGPA]&gt;=8,"8-9",IF(tblPlacement[CGPA]&gt;=7,"7-8","Below 7")))</f>
        <v>8-9</v>
      </c>
      <c r="M84" t="str">
        <f>IF(tblPlacement[Package_LPA]&gt;=15,"High",IF(tblPlacement[Package_LPA]&gt;=8,"Medium","Low"))</f>
        <v>Medium</v>
      </c>
      <c r="N84">
        <f>IF(tblPlacement[Internship]="Yes",1,0)</f>
        <v>1</v>
      </c>
    </row>
    <row r="85" spans="1:14" x14ac:dyDescent="0.3">
      <c r="A85" t="s">
        <v>164</v>
      </c>
      <c r="B85" t="s">
        <v>43</v>
      </c>
      <c r="C85">
        <v>8.4</v>
      </c>
      <c r="D85" t="s">
        <v>22</v>
      </c>
      <c r="E85" t="s">
        <v>165</v>
      </c>
      <c r="F85" t="s">
        <v>32</v>
      </c>
      <c r="G85">
        <v>0</v>
      </c>
      <c r="H85" t="s">
        <v>33</v>
      </c>
      <c r="I85" t="s">
        <v>33</v>
      </c>
      <c r="J85" t="s">
        <v>164</v>
      </c>
      <c r="K85">
        <f>IF(tblPlacement[Placement_Status]="Placed",1,0)</f>
        <v>0</v>
      </c>
      <c r="L85" t="str">
        <f>IF(tblPlacement[CGPA]&gt;=9,"9+", IF(tblPlacement[CGPA]&gt;=8,"8-9",IF(tblPlacement[CGPA]&gt;=7,"7-8","Below 7")))</f>
        <v>8-9</v>
      </c>
      <c r="M85" t="str">
        <f>IF(tblPlacement[Package_LPA]&gt;=15,"High",IF(tblPlacement[Package_LPA]&gt;=8,"Medium","Low"))</f>
        <v>Low</v>
      </c>
      <c r="N85">
        <f>IF(tblPlacement[Internship]="Yes",1,0)</f>
        <v>0</v>
      </c>
    </row>
    <row r="86" spans="1:14" x14ac:dyDescent="0.3">
      <c r="A86" t="s">
        <v>166</v>
      </c>
      <c r="B86" t="s">
        <v>17</v>
      </c>
      <c r="C86">
        <v>6.6</v>
      </c>
      <c r="D86" t="s">
        <v>11</v>
      </c>
      <c r="E86" t="s">
        <v>136</v>
      </c>
      <c r="F86" t="s">
        <v>13</v>
      </c>
      <c r="G86">
        <v>12.8</v>
      </c>
      <c r="H86" t="s">
        <v>81</v>
      </c>
      <c r="I86" t="s">
        <v>20</v>
      </c>
      <c r="J86" t="s">
        <v>166</v>
      </c>
      <c r="K86">
        <f>IF(tblPlacement[Placement_Status]="Placed",1,0)</f>
        <v>1</v>
      </c>
      <c r="L86" t="str">
        <f>IF(tblPlacement[CGPA]&gt;=9,"9+", IF(tblPlacement[CGPA]&gt;=8,"8-9",IF(tblPlacement[CGPA]&gt;=7,"7-8","Below 7")))</f>
        <v>Below 7</v>
      </c>
      <c r="M86" t="str">
        <f>IF(tblPlacement[Package_LPA]&gt;=15,"High",IF(tblPlacement[Package_LPA]&gt;=8,"Medium","Low"))</f>
        <v>Medium</v>
      </c>
      <c r="N86">
        <f>IF(tblPlacement[Internship]="Yes",1,0)</f>
        <v>1</v>
      </c>
    </row>
    <row r="87" spans="1:14" x14ac:dyDescent="0.3">
      <c r="A87" t="s">
        <v>167</v>
      </c>
      <c r="B87" t="s">
        <v>20</v>
      </c>
      <c r="C87">
        <v>9.8000000000000007</v>
      </c>
      <c r="D87" t="s">
        <v>11</v>
      </c>
      <c r="E87" t="s">
        <v>46</v>
      </c>
      <c r="F87" t="s">
        <v>13</v>
      </c>
      <c r="G87">
        <v>9.3000000000000007</v>
      </c>
      <c r="H87" t="s">
        <v>24</v>
      </c>
      <c r="I87" t="s">
        <v>20</v>
      </c>
      <c r="J87" t="s">
        <v>167</v>
      </c>
      <c r="K87">
        <f>IF(tblPlacement[Placement_Status]="Placed",1,0)</f>
        <v>1</v>
      </c>
      <c r="L87" t="str">
        <f>IF(tblPlacement[CGPA]&gt;=9,"9+", IF(tblPlacement[CGPA]&gt;=8,"8-9",IF(tblPlacement[CGPA]&gt;=7,"7-8","Below 7")))</f>
        <v>9+</v>
      </c>
      <c r="M87" t="str">
        <f>IF(tblPlacement[Package_LPA]&gt;=15,"High",IF(tblPlacement[Package_LPA]&gt;=8,"Medium","Low"))</f>
        <v>Medium</v>
      </c>
      <c r="N87">
        <f>IF(tblPlacement[Internship]="Yes",1,0)</f>
        <v>1</v>
      </c>
    </row>
    <row r="88" spans="1:14" x14ac:dyDescent="0.3">
      <c r="A88" t="s">
        <v>168</v>
      </c>
      <c r="B88" t="s">
        <v>17</v>
      </c>
      <c r="C88">
        <v>5.7</v>
      </c>
      <c r="D88" t="s">
        <v>11</v>
      </c>
      <c r="E88" t="s">
        <v>23</v>
      </c>
      <c r="F88" t="s">
        <v>13</v>
      </c>
      <c r="G88">
        <v>15.5</v>
      </c>
      <c r="H88" t="s">
        <v>24</v>
      </c>
      <c r="I88" t="s">
        <v>20</v>
      </c>
      <c r="J88" t="s">
        <v>168</v>
      </c>
      <c r="K88">
        <f>IF(tblPlacement[Placement_Status]="Placed",1,0)</f>
        <v>1</v>
      </c>
      <c r="L88" t="str">
        <f>IF(tblPlacement[CGPA]&gt;=9,"9+", IF(tblPlacement[CGPA]&gt;=8,"8-9",IF(tblPlacement[CGPA]&gt;=7,"7-8","Below 7")))</f>
        <v>Below 7</v>
      </c>
      <c r="M88" t="str">
        <f>IF(tblPlacement[Package_LPA]&gt;=15,"High",IF(tblPlacement[Package_LPA]&gt;=8,"Medium","Low"))</f>
        <v>High</v>
      </c>
      <c r="N88">
        <f>IF(tblPlacement[Internship]="Yes",1,0)</f>
        <v>1</v>
      </c>
    </row>
    <row r="89" spans="1:14" x14ac:dyDescent="0.3">
      <c r="A89" t="s">
        <v>169</v>
      </c>
      <c r="B89" t="s">
        <v>131</v>
      </c>
      <c r="C89">
        <v>7.6</v>
      </c>
      <c r="D89" t="s">
        <v>11</v>
      </c>
      <c r="E89" t="s">
        <v>86</v>
      </c>
      <c r="F89" t="s">
        <v>32</v>
      </c>
      <c r="G89">
        <v>0</v>
      </c>
      <c r="H89" t="s">
        <v>33</v>
      </c>
      <c r="I89" t="s">
        <v>33</v>
      </c>
      <c r="J89" t="s">
        <v>169</v>
      </c>
      <c r="K89">
        <f>IF(tblPlacement[Placement_Status]="Placed",1,0)</f>
        <v>0</v>
      </c>
      <c r="L89" t="str">
        <f>IF(tblPlacement[CGPA]&gt;=9,"9+", IF(tblPlacement[CGPA]&gt;=8,"8-9",IF(tblPlacement[CGPA]&gt;=7,"7-8","Below 7")))</f>
        <v>7-8</v>
      </c>
      <c r="M89" t="str">
        <f>IF(tblPlacement[Package_LPA]&gt;=15,"High",IF(tblPlacement[Package_LPA]&gt;=8,"Medium","Low"))</f>
        <v>Low</v>
      </c>
      <c r="N89">
        <f>IF(tblPlacement[Internship]="Yes",1,0)</f>
        <v>1</v>
      </c>
    </row>
    <row r="90" spans="1:14" x14ac:dyDescent="0.3">
      <c r="A90" t="s">
        <v>170</v>
      </c>
      <c r="B90" t="s">
        <v>20</v>
      </c>
      <c r="C90">
        <v>6.9</v>
      </c>
      <c r="D90" t="s">
        <v>11</v>
      </c>
      <c r="E90" t="s">
        <v>39</v>
      </c>
      <c r="F90" t="s">
        <v>13</v>
      </c>
      <c r="G90">
        <v>8.6999999999999993</v>
      </c>
      <c r="H90" t="s">
        <v>53</v>
      </c>
      <c r="I90" t="s">
        <v>20</v>
      </c>
      <c r="J90" t="s">
        <v>170</v>
      </c>
      <c r="K90">
        <f>IF(tblPlacement[Placement_Status]="Placed",1,0)</f>
        <v>1</v>
      </c>
      <c r="L90" t="str">
        <f>IF(tblPlacement[CGPA]&gt;=9,"9+", IF(tblPlacement[CGPA]&gt;=8,"8-9",IF(tblPlacement[CGPA]&gt;=7,"7-8","Below 7")))</f>
        <v>Below 7</v>
      </c>
      <c r="M90" t="str">
        <f>IF(tblPlacement[Package_LPA]&gt;=15,"High",IF(tblPlacement[Package_LPA]&gt;=8,"Medium","Low"))</f>
        <v>Medium</v>
      </c>
      <c r="N90">
        <f>IF(tblPlacement[Internship]="Yes",1,0)</f>
        <v>1</v>
      </c>
    </row>
    <row r="91" spans="1:14" x14ac:dyDescent="0.3">
      <c r="A91" t="s">
        <v>171</v>
      </c>
      <c r="B91" t="s">
        <v>26</v>
      </c>
      <c r="C91">
        <v>8.1</v>
      </c>
      <c r="D91" t="s">
        <v>22</v>
      </c>
      <c r="E91" t="s">
        <v>27</v>
      </c>
      <c r="F91" t="s">
        <v>32</v>
      </c>
      <c r="G91">
        <v>0</v>
      </c>
      <c r="H91" t="s">
        <v>33</v>
      </c>
      <c r="I91" t="s">
        <v>33</v>
      </c>
      <c r="J91" t="s">
        <v>171</v>
      </c>
      <c r="K91">
        <f>IF(tblPlacement[Placement_Status]="Placed",1,0)</f>
        <v>0</v>
      </c>
      <c r="L91" t="str">
        <f>IF(tblPlacement[CGPA]&gt;=9,"9+", IF(tblPlacement[CGPA]&gt;=8,"8-9",IF(tblPlacement[CGPA]&gt;=7,"7-8","Below 7")))</f>
        <v>8-9</v>
      </c>
      <c r="M91" t="str">
        <f>IF(tblPlacement[Package_LPA]&gt;=15,"High",IF(tblPlacement[Package_LPA]&gt;=8,"Medium","Low"))</f>
        <v>Low</v>
      </c>
      <c r="N91">
        <f>IF(tblPlacement[Internship]="Yes",1,0)</f>
        <v>0</v>
      </c>
    </row>
    <row r="92" spans="1:14" x14ac:dyDescent="0.3">
      <c r="A92" t="s">
        <v>172</v>
      </c>
      <c r="B92" t="s">
        <v>30</v>
      </c>
      <c r="C92">
        <v>7.4</v>
      </c>
      <c r="D92" t="s">
        <v>11</v>
      </c>
      <c r="E92" t="s">
        <v>60</v>
      </c>
      <c r="F92" t="s">
        <v>32</v>
      </c>
      <c r="G92">
        <v>0</v>
      </c>
      <c r="H92" t="s">
        <v>33</v>
      </c>
      <c r="I92" t="s">
        <v>33</v>
      </c>
      <c r="J92" t="s">
        <v>172</v>
      </c>
      <c r="K92">
        <f>IF(tblPlacement[Placement_Status]="Placed",1,0)</f>
        <v>0</v>
      </c>
      <c r="L92" t="str">
        <f>IF(tblPlacement[CGPA]&gt;=9,"9+", IF(tblPlacement[CGPA]&gt;=8,"8-9",IF(tblPlacement[CGPA]&gt;=7,"7-8","Below 7")))</f>
        <v>7-8</v>
      </c>
      <c r="M92" t="str">
        <f>IF(tblPlacement[Package_LPA]&gt;=15,"High",IF(tblPlacement[Package_LPA]&gt;=8,"Medium","Low"))</f>
        <v>Low</v>
      </c>
      <c r="N92">
        <f>IF(tblPlacement[Internship]="Yes",1,0)</f>
        <v>1</v>
      </c>
    </row>
    <row r="93" spans="1:14" x14ac:dyDescent="0.3">
      <c r="A93" t="s">
        <v>173</v>
      </c>
      <c r="B93" t="s">
        <v>17</v>
      </c>
      <c r="C93">
        <v>9.1999999999999993</v>
      </c>
      <c r="D93" t="s">
        <v>11</v>
      </c>
      <c r="E93" t="s">
        <v>46</v>
      </c>
      <c r="F93" t="s">
        <v>13</v>
      </c>
      <c r="G93">
        <v>9.1</v>
      </c>
      <c r="H93" t="s">
        <v>51</v>
      </c>
      <c r="I93" t="s">
        <v>20</v>
      </c>
      <c r="J93" t="s">
        <v>173</v>
      </c>
      <c r="K93">
        <f>IF(tblPlacement[Placement_Status]="Placed",1,0)</f>
        <v>1</v>
      </c>
      <c r="L93" t="str">
        <f>IF(tblPlacement[CGPA]&gt;=9,"9+", IF(tblPlacement[CGPA]&gt;=8,"8-9",IF(tblPlacement[CGPA]&gt;=7,"7-8","Below 7")))</f>
        <v>9+</v>
      </c>
      <c r="M93" t="str">
        <f>IF(tblPlacement[Package_LPA]&gt;=15,"High",IF(tblPlacement[Package_LPA]&gt;=8,"Medium","Low"))</f>
        <v>Medium</v>
      </c>
      <c r="N93">
        <f>IF(tblPlacement[Internship]="Yes",1,0)</f>
        <v>1</v>
      </c>
    </row>
    <row r="94" spans="1:14" x14ac:dyDescent="0.3">
      <c r="A94" t="s">
        <v>174</v>
      </c>
      <c r="B94" t="s">
        <v>26</v>
      </c>
      <c r="C94">
        <v>5.6</v>
      </c>
      <c r="D94" t="s">
        <v>11</v>
      </c>
      <c r="E94" t="s">
        <v>138</v>
      </c>
      <c r="F94" t="s">
        <v>32</v>
      </c>
      <c r="G94">
        <v>0</v>
      </c>
      <c r="H94" t="s">
        <v>33</v>
      </c>
      <c r="I94" t="s">
        <v>33</v>
      </c>
      <c r="J94" t="s">
        <v>174</v>
      </c>
      <c r="K94">
        <f>IF(tblPlacement[Placement_Status]="Placed",1,0)</f>
        <v>0</v>
      </c>
      <c r="L94" t="str">
        <f>IF(tblPlacement[CGPA]&gt;=9,"9+", IF(tblPlacement[CGPA]&gt;=8,"8-9",IF(tblPlacement[CGPA]&gt;=7,"7-8","Below 7")))</f>
        <v>Below 7</v>
      </c>
      <c r="M94" t="str">
        <f>IF(tblPlacement[Package_LPA]&gt;=15,"High",IF(tblPlacement[Package_LPA]&gt;=8,"Medium","Low"))</f>
        <v>Low</v>
      </c>
      <c r="N94">
        <f>IF(tblPlacement[Internship]="Yes",1,0)</f>
        <v>1</v>
      </c>
    </row>
    <row r="95" spans="1:14" x14ac:dyDescent="0.3">
      <c r="A95" t="s">
        <v>175</v>
      </c>
      <c r="B95" t="s">
        <v>43</v>
      </c>
      <c r="C95">
        <v>6.2</v>
      </c>
      <c r="D95" t="s">
        <v>11</v>
      </c>
      <c r="E95" t="s">
        <v>165</v>
      </c>
      <c r="F95" t="s">
        <v>32</v>
      </c>
      <c r="G95">
        <v>0</v>
      </c>
      <c r="H95" t="s">
        <v>33</v>
      </c>
      <c r="I95" t="s">
        <v>33</v>
      </c>
      <c r="J95" t="s">
        <v>175</v>
      </c>
      <c r="K95">
        <f>IF(tblPlacement[Placement_Status]="Placed",1,0)</f>
        <v>0</v>
      </c>
      <c r="L95" t="str">
        <f>IF(tblPlacement[CGPA]&gt;=9,"9+", IF(tblPlacement[CGPA]&gt;=8,"8-9",IF(tblPlacement[CGPA]&gt;=7,"7-8","Below 7")))</f>
        <v>Below 7</v>
      </c>
      <c r="M95" t="str">
        <f>IF(tblPlacement[Package_LPA]&gt;=15,"High",IF(tblPlacement[Package_LPA]&gt;=8,"Medium","Low"))</f>
        <v>Low</v>
      </c>
      <c r="N95">
        <f>IF(tblPlacement[Internship]="Yes",1,0)</f>
        <v>1</v>
      </c>
    </row>
    <row r="96" spans="1:14" x14ac:dyDescent="0.3">
      <c r="A96" t="s">
        <v>176</v>
      </c>
      <c r="B96" t="s">
        <v>20</v>
      </c>
      <c r="C96">
        <v>7.9</v>
      </c>
      <c r="D96" t="s">
        <v>11</v>
      </c>
      <c r="E96" t="s">
        <v>18</v>
      </c>
      <c r="F96" t="s">
        <v>13</v>
      </c>
      <c r="G96">
        <v>14.3</v>
      </c>
      <c r="H96" t="s">
        <v>19</v>
      </c>
      <c r="I96" t="s">
        <v>20</v>
      </c>
      <c r="J96" t="s">
        <v>176</v>
      </c>
      <c r="K96">
        <f>IF(tblPlacement[Placement_Status]="Placed",1,0)</f>
        <v>1</v>
      </c>
      <c r="L96" t="str">
        <f>IF(tblPlacement[CGPA]&gt;=9,"9+", IF(tblPlacement[CGPA]&gt;=8,"8-9",IF(tblPlacement[CGPA]&gt;=7,"7-8","Below 7")))</f>
        <v>7-8</v>
      </c>
      <c r="M96" t="str">
        <f>IF(tblPlacement[Package_LPA]&gt;=15,"High",IF(tblPlacement[Package_LPA]&gt;=8,"Medium","Low"))</f>
        <v>Medium</v>
      </c>
      <c r="N96">
        <f>IF(tblPlacement[Internship]="Yes",1,0)</f>
        <v>1</v>
      </c>
    </row>
    <row r="97" spans="1:14" x14ac:dyDescent="0.3">
      <c r="A97" t="s">
        <v>177</v>
      </c>
      <c r="B97" t="s">
        <v>17</v>
      </c>
      <c r="C97">
        <v>5.6</v>
      </c>
      <c r="D97" t="s">
        <v>11</v>
      </c>
      <c r="E97" t="s">
        <v>46</v>
      </c>
      <c r="F97" t="s">
        <v>13</v>
      </c>
      <c r="G97">
        <v>14.1</v>
      </c>
      <c r="H97" t="s">
        <v>81</v>
      </c>
      <c r="I97" t="s">
        <v>20</v>
      </c>
      <c r="J97" t="s">
        <v>177</v>
      </c>
      <c r="K97">
        <f>IF(tblPlacement[Placement_Status]="Placed",1,0)</f>
        <v>1</v>
      </c>
      <c r="L97" t="str">
        <f>IF(tblPlacement[CGPA]&gt;=9,"9+", IF(tblPlacement[CGPA]&gt;=8,"8-9",IF(tblPlacement[CGPA]&gt;=7,"7-8","Below 7")))</f>
        <v>Below 7</v>
      </c>
      <c r="M97" t="str">
        <f>IF(tblPlacement[Package_LPA]&gt;=15,"High",IF(tblPlacement[Package_LPA]&gt;=8,"Medium","Low"))</f>
        <v>Medium</v>
      </c>
      <c r="N97">
        <f>IF(tblPlacement[Internship]="Yes",1,0)</f>
        <v>1</v>
      </c>
    </row>
    <row r="98" spans="1:14" x14ac:dyDescent="0.3">
      <c r="A98" t="s">
        <v>178</v>
      </c>
      <c r="B98" t="s">
        <v>30</v>
      </c>
      <c r="C98">
        <v>5.4</v>
      </c>
      <c r="D98" t="s">
        <v>11</v>
      </c>
      <c r="E98" t="s">
        <v>31</v>
      </c>
      <c r="F98" t="s">
        <v>32</v>
      </c>
      <c r="G98">
        <v>0</v>
      </c>
      <c r="H98" t="s">
        <v>33</v>
      </c>
      <c r="I98" t="s">
        <v>33</v>
      </c>
      <c r="J98" t="s">
        <v>178</v>
      </c>
      <c r="K98">
        <f>IF(tblPlacement[Placement_Status]="Placed",1,0)</f>
        <v>0</v>
      </c>
      <c r="L98" t="str">
        <f>IF(tblPlacement[CGPA]&gt;=9,"9+", IF(tblPlacement[CGPA]&gt;=8,"8-9",IF(tblPlacement[CGPA]&gt;=7,"7-8","Below 7")))</f>
        <v>Below 7</v>
      </c>
      <c r="M98" t="str">
        <f>IF(tblPlacement[Package_LPA]&gt;=15,"High",IF(tblPlacement[Package_LPA]&gt;=8,"Medium","Low"))</f>
        <v>Low</v>
      </c>
      <c r="N98">
        <f>IF(tblPlacement[Internship]="Yes",1,0)</f>
        <v>1</v>
      </c>
    </row>
    <row r="99" spans="1:14" x14ac:dyDescent="0.3">
      <c r="A99" t="s">
        <v>179</v>
      </c>
      <c r="B99" t="s">
        <v>20</v>
      </c>
      <c r="C99">
        <v>8.4</v>
      </c>
      <c r="D99" t="s">
        <v>22</v>
      </c>
      <c r="E99" t="s">
        <v>86</v>
      </c>
      <c r="F99" t="s">
        <v>13</v>
      </c>
      <c r="G99">
        <v>18</v>
      </c>
      <c r="H99" t="s">
        <v>67</v>
      </c>
      <c r="I99" t="s">
        <v>20</v>
      </c>
      <c r="J99" t="s">
        <v>179</v>
      </c>
      <c r="K99">
        <f>IF(tblPlacement[Placement_Status]="Placed",1,0)</f>
        <v>1</v>
      </c>
      <c r="L99" t="str">
        <f>IF(tblPlacement[CGPA]&gt;=9,"9+", IF(tblPlacement[CGPA]&gt;=8,"8-9",IF(tblPlacement[CGPA]&gt;=7,"7-8","Below 7")))</f>
        <v>8-9</v>
      </c>
      <c r="M99" t="str">
        <f>IF(tblPlacement[Package_LPA]&gt;=15,"High",IF(tblPlacement[Package_LPA]&gt;=8,"Medium","Low"))</f>
        <v>High</v>
      </c>
      <c r="N99">
        <f>IF(tblPlacement[Internship]="Yes",1,0)</f>
        <v>0</v>
      </c>
    </row>
    <row r="100" spans="1:14" x14ac:dyDescent="0.3">
      <c r="A100" t="s">
        <v>180</v>
      </c>
      <c r="B100" t="s">
        <v>43</v>
      </c>
      <c r="C100">
        <v>5.5</v>
      </c>
      <c r="D100" t="s">
        <v>11</v>
      </c>
      <c r="E100" t="s">
        <v>58</v>
      </c>
      <c r="F100" t="s">
        <v>32</v>
      </c>
      <c r="G100">
        <v>0</v>
      </c>
      <c r="H100" t="s">
        <v>33</v>
      </c>
      <c r="I100" t="s">
        <v>33</v>
      </c>
      <c r="J100" t="s">
        <v>180</v>
      </c>
      <c r="K100">
        <f>IF(tblPlacement[Placement_Status]="Placed",1,0)</f>
        <v>0</v>
      </c>
      <c r="L100" t="str">
        <f>IF(tblPlacement[CGPA]&gt;=9,"9+", IF(tblPlacement[CGPA]&gt;=8,"8-9",IF(tblPlacement[CGPA]&gt;=7,"7-8","Below 7")))</f>
        <v>Below 7</v>
      </c>
      <c r="M100" t="str">
        <f>IF(tblPlacement[Package_LPA]&gt;=15,"High",IF(tblPlacement[Package_LPA]&gt;=8,"Medium","Low"))</f>
        <v>Low</v>
      </c>
      <c r="N100">
        <f>IF(tblPlacement[Internship]="Yes",1,0)</f>
        <v>1</v>
      </c>
    </row>
    <row r="101" spans="1:14" x14ac:dyDescent="0.3">
      <c r="A101" t="s">
        <v>181</v>
      </c>
      <c r="B101" t="s">
        <v>43</v>
      </c>
      <c r="C101">
        <v>9.4</v>
      </c>
      <c r="D101" t="s">
        <v>11</v>
      </c>
      <c r="E101" t="s">
        <v>165</v>
      </c>
      <c r="F101" t="s">
        <v>13</v>
      </c>
      <c r="G101">
        <v>12</v>
      </c>
      <c r="H101" t="s">
        <v>182</v>
      </c>
      <c r="I101" t="s">
        <v>43</v>
      </c>
      <c r="J101" t="s">
        <v>181</v>
      </c>
      <c r="K101">
        <f>IF(tblPlacement[Placement_Status]="Placed",1,0)</f>
        <v>1</v>
      </c>
      <c r="L101" t="str">
        <f>IF(tblPlacement[CGPA]&gt;=9,"9+", IF(tblPlacement[CGPA]&gt;=8,"8-9",IF(tblPlacement[CGPA]&gt;=7,"7-8","Below 7")))</f>
        <v>9+</v>
      </c>
      <c r="M101" t="str">
        <f>IF(tblPlacement[Package_LPA]&gt;=15,"High",IF(tblPlacement[Package_LPA]&gt;=8,"Medium","Low"))</f>
        <v>Medium</v>
      </c>
      <c r="N101">
        <f>IF(tblPlacement[Internship]="Yes",1,0)</f>
        <v>1</v>
      </c>
    </row>
    <row r="102" spans="1:14" x14ac:dyDescent="0.3">
      <c r="A102" t="s">
        <v>183</v>
      </c>
      <c r="B102" t="s">
        <v>17</v>
      </c>
      <c r="C102">
        <v>5.4</v>
      </c>
      <c r="D102" t="s">
        <v>11</v>
      </c>
      <c r="E102" t="s">
        <v>39</v>
      </c>
      <c r="F102" t="s">
        <v>13</v>
      </c>
      <c r="G102">
        <v>7.7</v>
      </c>
      <c r="H102" t="s">
        <v>72</v>
      </c>
      <c r="I102" t="s">
        <v>20</v>
      </c>
      <c r="J102" t="s">
        <v>183</v>
      </c>
      <c r="K102">
        <f>IF(tblPlacement[Placement_Status]="Placed",1,0)</f>
        <v>1</v>
      </c>
      <c r="L102" t="str">
        <f>IF(tblPlacement[CGPA]&gt;=9,"9+", IF(tblPlacement[CGPA]&gt;=8,"8-9",IF(tblPlacement[CGPA]&gt;=7,"7-8","Below 7")))</f>
        <v>Below 7</v>
      </c>
      <c r="M102" t="str">
        <f>IF(tblPlacement[Package_LPA]&gt;=15,"High",IF(tblPlacement[Package_LPA]&gt;=8,"Medium","Low"))</f>
        <v>Low</v>
      </c>
      <c r="N102">
        <f>IF(tblPlacement[Internship]="Yes",1,0)</f>
        <v>1</v>
      </c>
    </row>
    <row r="103" spans="1:14" x14ac:dyDescent="0.3">
      <c r="A103" t="s">
        <v>184</v>
      </c>
      <c r="B103" t="s">
        <v>10</v>
      </c>
      <c r="C103">
        <v>9.1999999999999993</v>
      </c>
      <c r="D103" t="s">
        <v>22</v>
      </c>
      <c r="E103" t="s">
        <v>185</v>
      </c>
      <c r="F103" t="s">
        <v>32</v>
      </c>
      <c r="G103">
        <v>0</v>
      </c>
      <c r="H103" t="s">
        <v>33</v>
      </c>
      <c r="I103" t="s">
        <v>33</v>
      </c>
      <c r="J103" t="s">
        <v>184</v>
      </c>
      <c r="K103">
        <f>IF(tblPlacement[Placement_Status]="Placed",1,0)</f>
        <v>0</v>
      </c>
      <c r="L103" t="str">
        <f>IF(tblPlacement[CGPA]&gt;=9,"9+", IF(tblPlacement[CGPA]&gt;=8,"8-9",IF(tblPlacement[CGPA]&gt;=7,"7-8","Below 7")))</f>
        <v>9+</v>
      </c>
      <c r="M103" t="str">
        <f>IF(tblPlacement[Package_LPA]&gt;=15,"High",IF(tblPlacement[Package_LPA]&gt;=8,"Medium","Low"))</f>
        <v>Low</v>
      </c>
      <c r="N103">
        <f>IF(tblPlacement[Internship]="Yes",1,0)</f>
        <v>0</v>
      </c>
    </row>
    <row r="104" spans="1:14" x14ac:dyDescent="0.3">
      <c r="A104" t="s">
        <v>186</v>
      </c>
      <c r="B104" t="s">
        <v>10</v>
      </c>
      <c r="C104">
        <v>6.4</v>
      </c>
      <c r="D104" t="s">
        <v>11</v>
      </c>
      <c r="E104" t="s">
        <v>60</v>
      </c>
      <c r="F104" t="s">
        <v>13</v>
      </c>
      <c r="G104">
        <v>19.399999999999999</v>
      </c>
      <c r="H104" t="s">
        <v>67</v>
      </c>
      <c r="I104" t="s">
        <v>20</v>
      </c>
      <c r="J104" t="s">
        <v>186</v>
      </c>
      <c r="K104">
        <f>IF(tblPlacement[Placement_Status]="Placed",1,0)</f>
        <v>1</v>
      </c>
      <c r="L104" t="str">
        <f>IF(tblPlacement[CGPA]&gt;=9,"9+", IF(tblPlacement[CGPA]&gt;=8,"8-9",IF(tblPlacement[CGPA]&gt;=7,"7-8","Below 7")))</f>
        <v>Below 7</v>
      </c>
      <c r="M104" t="str">
        <f>IF(tblPlacement[Package_LPA]&gt;=15,"High",IF(tblPlacement[Package_LPA]&gt;=8,"Medium","Low"))</f>
        <v>High</v>
      </c>
      <c r="N104">
        <f>IF(tblPlacement[Internship]="Yes",1,0)</f>
        <v>1</v>
      </c>
    </row>
    <row r="105" spans="1:14" x14ac:dyDescent="0.3">
      <c r="A105" t="s">
        <v>187</v>
      </c>
      <c r="B105" t="s">
        <v>20</v>
      </c>
      <c r="C105">
        <v>8.9</v>
      </c>
      <c r="D105" t="s">
        <v>22</v>
      </c>
      <c r="E105" t="s">
        <v>71</v>
      </c>
      <c r="F105" t="s">
        <v>13</v>
      </c>
      <c r="G105">
        <v>14</v>
      </c>
      <c r="H105" t="s">
        <v>115</v>
      </c>
      <c r="I105" t="s">
        <v>20</v>
      </c>
      <c r="J105" t="s">
        <v>187</v>
      </c>
      <c r="K105">
        <f>IF(tblPlacement[Placement_Status]="Placed",1,0)</f>
        <v>1</v>
      </c>
      <c r="L105" t="str">
        <f>IF(tblPlacement[CGPA]&gt;=9,"9+", IF(tblPlacement[CGPA]&gt;=8,"8-9",IF(tblPlacement[CGPA]&gt;=7,"7-8","Below 7")))</f>
        <v>8-9</v>
      </c>
      <c r="M105" t="str">
        <f>IF(tblPlacement[Package_LPA]&gt;=15,"High",IF(tblPlacement[Package_LPA]&gt;=8,"Medium","Low"))</f>
        <v>Medium</v>
      </c>
      <c r="N105">
        <f>IF(tblPlacement[Internship]="Yes",1,0)</f>
        <v>0</v>
      </c>
    </row>
    <row r="106" spans="1:14" x14ac:dyDescent="0.3">
      <c r="A106" t="s">
        <v>188</v>
      </c>
      <c r="B106" t="s">
        <v>43</v>
      </c>
      <c r="C106">
        <v>6.7</v>
      </c>
      <c r="D106" t="s">
        <v>22</v>
      </c>
      <c r="E106" t="s">
        <v>58</v>
      </c>
      <c r="F106" t="s">
        <v>32</v>
      </c>
      <c r="G106">
        <v>0</v>
      </c>
      <c r="H106" t="s">
        <v>33</v>
      </c>
      <c r="I106" t="s">
        <v>33</v>
      </c>
      <c r="J106" t="s">
        <v>188</v>
      </c>
      <c r="K106">
        <f>IF(tblPlacement[Placement_Status]="Placed",1,0)</f>
        <v>0</v>
      </c>
      <c r="L106" t="str">
        <f>IF(tblPlacement[CGPA]&gt;=9,"9+", IF(tblPlacement[CGPA]&gt;=8,"8-9",IF(tblPlacement[CGPA]&gt;=7,"7-8","Below 7")))</f>
        <v>Below 7</v>
      </c>
      <c r="M106" t="str">
        <f>IF(tblPlacement[Package_LPA]&gt;=15,"High",IF(tblPlacement[Package_LPA]&gt;=8,"Medium","Low"))</f>
        <v>Low</v>
      </c>
      <c r="N106">
        <f>IF(tblPlacement[Internship]="Yes",1,0)</f>
        <v>0</v>
      </c>
    </row>
    <row r="107" spans="1:14" x14ac:dyDescent="0.3">
      <c r="A107" t="s">
        <v>189</v>
      </c>
      <c r="B107" t="s">
        <v>20</v>
      </c>
      <c r="C107">
        <v>8.6999999999999993</v>
      </c>
      <c r="D107" t="s">
        <v>11</v>
      </c>
      <c r="E107" t="s">
        <v>23</v>
      </c>
      <c r="F107" t="s">
        <v>13</v>
      </c>
      <c r="G107">
        <v>20.2</v>
      </c>
      <c r="H107" t="s">
        <v>72</v>
      </c>
      <c r="I107" t="s">
        <v>20</v>
      </c>
      <c r="J107" t="s">
        <v>189</v>
      </c>
      <c r="K107">
        <f>IF(tblPlacement[Placement_Status]="Placed",1,0)</f>
        <v>1</v>
      </c>
      <c r="L107" t="str">
        <f>IF(tblPlacement[CGPA]&gt;=9,"9+", IF(tblPlacement[CGPA]&gt;=8,"8-9",IF(tblPlacement[CGPA]&gt;=7,"7-8","Below 7")))</f>
        <v>8-9</v>
      </c>
      <c r="M107" t="str">
        <f>IF(tblPlacement[Package_LPA]&gt;=15,"High",IF(tblPlacement[Package_LPA]&gt;=8,"Medium","Low"))</f>
        <v>High</v>
      </c>
      <c r="N107">
        <f>IF(tblPlacement[Internship]="Yes",1,0)</f>
        <v>1</v>
      </c>
    </row>
    <row r="108" spans="1:14" x14ac:dyDescent="0.3">
      <c r="A108" t="s">
        <v>190</v>
      </c>
      <c r="B108" t="s">
        <v>20</v>
      </c>
      <c r="C108">
        <v>7.6</v>
      </c>
      <c r="D108" t="s">
        <v>22</v>
      </c>
      <c r="E108" t="s">
        <v>71</v>
      </c>
      <c r="F108" t="s">
        <v>13</v>
      </c>
      <c r="G108">
        <v>9</v>
      </c>
      <c r="H108" t="s">
        <v>53</v>
      </c>
      <c r="I108" t="s">
        <v>20</v>
      </c>
      <c r="J108" t="s">
        <v>190</v>
      </c>
      <c r="K108">
        <f>IF(tblPlacement[Placement_Status]="Placed",1,0)</f>
        <v>1</v>
      </c>
      <c r="L108" t="str">
        <f>IF(tblPlacement[CGPA]&gt;=9,"9+", IF(tblPlacement[CGPA]&gt;=8,"8-9",IF(tblPlacement[CGPA]&gt;=7,"7-8","Below 7")))</f>
        <v>7-8</v>
      </c>
      <c r="M108" t="str">
        <f>IF(tblPlacement[Package_LPA]&gt;=15,"High",IF(tblPlacement[Package_LPA]&gt;=8,"Medium","Low"))</f>
        <v>Medium</v>
      </c>
      <c r="N108">
        <f>IF(tblPlacement[Internship]="Yes",1,0)</f>
        <v>0</v>
      </c>
    </row>
    <row r="109" spans="1:14" x14ac:dyDescent="0.3">
      <c r="A109" t="s">
        <v>191</v>
      </c>
      <c r="B109" t="s">
        <v>43</v>
      </c>
      <c r="C109">
        <v>8.1</v>
      </c>
      <c r="D109" t="s">
        <v>22</v>
      </c>
      <c r="E109" t="s">
        <v>69</v>
      </c>
      <c r="F109" t="s">
        <v>13</v>
      </c>
      <c r="G109">
        <v>13.2</v>
      </c>
      <c r="H109" t="s">
        <v>56</v>
      </c>
      <c r="I109" t="s">
        <v>65</v>
      </c>
      <c r="J109" t="s">
        <v>191</v>
      </c>
      <c r="K109">
        <f>IF(tblPlacement[Placement_Status]="Placed",1,0)</f>
        <v>1</v>
      </c>
      <c r="L109" t="str">
        <f>IF(tblPlacement[CGPA]&gt;=9,"9+", IF(tblPlacement[CGPA]&gt;=8,"8-9",IF(tblPlacement[CGPA]&gt;=7,"7-8","Below 7")))</f>
        <v>8-9</v>
      </c>
      <c r="M109" t="str">
        <f>IF(tblPlacement[Package_LPA]&gt;=15,"High",IF(tblPlacement[Package_LPA]&gt;=8,"Medium","Low"))</f>
        <v>Medium</v>
      </c>
      <c r="N109">
        <f>IF(tblPlacement[Internship]="Yes",1,0)</f>
        <v>0</v>
      </c>
    </row>
    <row r="110" spans="1:14" x14ac:dyDescent="0.3">
      <c r="A110" t="s">
        <v>192</v>
      </c>
      <c r="B110" t="s">
        <v>30</v>
      </c>
      <c r="C110">
        <v>5.3</v>
      </c>
      <c r="D110" t="s">
        <v>22</v>
      </c>
      <c r="E110" t="s">
        <v>18</v>
      </c>
      <c r="F110" t="s">
        <v>32</v>
      </c>
      <c r="G110">
        <v>0</v>
      </c>
      <c r="H110" t="s">
        <v>33</v>
      </c>
      <c r="I110" t="s">
        <v>33</v>
      </c>
      <c r="J110" t="s">
        <v>192</v>
      </c>
      <c r="K110">
        <f>IF(tblPlacement[Placement_Status]="Placed",1,0)</f>
        <v>0</v>
      </c>
      <c r="L110" t="str">
        <f>IF(tblPlacement[CGPA]&gt;=9,"9+", IF(tblPlacement[CGPA]&gt;=8,"8-9",IF(tblPlacement[CGPA]&gt;=7,"7-8","Below 7")))</f>
        <v>Below 7</v>
      </c>
      <c r="M110" t="str">
        <f>IF(tblPlacement[Package_LPA]&gt;=15,"High",IF(tblPlacement[Package_LPA]&gt;=8,"Medium","Low"))</f>
        <v>Low</v>
      </c>
      <c r="N110">
        <f>IF(tblPlacement[Internship]="Yes",1,0)</f>
        <v>0</v>
      </c>
    </row>
    <row r="111" spans="1:14" x14ac:dyDescent="0.3">
      <c r="A111" t="s">
        <v>193</v>
      </c>
      <c r="B111" t="s">
        <v>20</v>
      </c>
      <c r="C111">
        <v>5.3</v>
      </c>
      <c r="D111" t="s">
        <v>11</v>
      </c>
      <c r="E111" t="s">
        <v>86</v>
      </c>
      <c r="F111" t="s">
        <v>32</v>
      </c>
      <c r="G111">
        <v>0</v>
      </c>
      <c r="H111" t="s">
        <v>33</v>
      </c>
      <c r="I111" t="s">
        <v>33</v>
      </c>
      <c r="J111" t="s">
        <v>193</v>
      </c>
      <c r="K111">
        <f>IF(tblPlacement[Placement_Status]="Placed",1,0)</f>
        <v>0</v>
      </c>
      <c r="L111" t="str">
        <f>IF(tblPlacement[CGPA]&gt;=9,"9+", IF(tblPlacement[CGPA]&gt;=8,"8-9",IF(tblPlacement[CGPA]&gt;=7,"7-8","Below 7")))</f>
        <v>Below 7</v>
      </c>
      <c r="M111" t="str">
        <f>IF(tblPlacement[Package_LPA]&gt;=15,"High",IF(tblPlacement[Package_LPA]&gt;=8,"Medium","Low"))</f>
        <v>Low</v>
      </c>
      <c r="N111">
        <f>IF(tblPlacement[Internship]="Yes",1,0)</f>
        <v>1</v>
      </c>
    </row>
    <row r="112" spans="1:14" x14ac:dyDescent="0.3">
      <c r="A112" t="s">
        <v>194</v>
      </c>
      <c r="B112" t="s">
        <v>26</v>
      </c>
      <c r="C112">
        <v>7.3</v>
      </c>
      <c r="D112" t="s">
        <v>11</v>
      </c>
      <c r="E112" t="s">
        <v>97</v>
      </c>
      <c r="F112" t="s">
        <v>13</v>
      </c>
      <c r="G112">
        <v>7.8</v>
      </c>
      <c r="H112" t="s">
        <v>195</v>
      </c>
      <c r="I112" t="s">
        <v>26</v>
      </c>
      <c r="J112" t="s">
        <v>194</v>
      </c>
      <c r="K112">
        <f>IF(tblPlacement[Placement_Status]="Placed",1,0)</f>
        <v>1</v>
      </c>
      <c r="L112" t="str">
        <f>IF(tblPlacement[CGPA]&gt;=9,"9+", IF(tblPlacement[CGPA]&gt;=8,"8-9",IF(tblPlacement[CGPA]&gt;=7,"7-8","Below 7")))</f>
        <v>7-8</v>
      </c>
      <c r="M112" t="str">
        <f>IF(tblPlacement[Package_LPA]&gt;=15,"High",IF(tblPlacement[Package_LPA]&gt;=8,"Medium","Low"))</f>
        <v>Low</v>
      </c>
      <c r="N112">
        <f>IF(tblPlacement[Internship]="Yes",1,0)</f>
        <v>1</v>
      </c>
    </row>
    <row r="113" spans="1:14" x14ac:dyDescent="0.3">
      <c r="A113" t="s">
        <v>196</v>
      </c>
      <c r="B113" t="s">
        <v>30</v>
      </c>
      <c r="C113">
        <v>7.4</v>
      </c>
      <c r="D113" t="s">
        <v>11</v>
      </c>
      <c r="E113" t="s">
        <v>60</v>
      </c>
      <c r="F113" t="s">
        <v>13</v>
      </c>
      <c r="G113">
        <v>15.9</v>
      </c>
      <c r="H113" t="s">
        <v>24</v>
      </c>
      <c r="I113" t="s">
        <v>20</v>
      </c>
      <c r="J113" t="s">
        <v>196</v>
      </c>
      <c r="K113">
        <f>IF(tblPlacement[Placement_Status]="Placed",1,0)</f>
        <v>1</v>
      </c>
      <c r="L113" t="str">
        <f>IF(tblPlacement[CGPA]&gt;=9,"9+", IF(tblPlacement[CGPA]&gt;=8,"8-9",IF(tblPlacement[CGPA]&gt;=7,"7-8","Below 7")))</f>
        <v>7-8</v>
      </c>
      <c r="M113" t="str">
        <f>IF(tblPlacement[Package_LPA]&gt;=15,"High",IF(tblPlacement[Package_LPA]&gt;=8,"Medium","Low"))</f>
        <v>High</v>
      </c>
      <c r="N113">
        <f>IF(tblPlacement[Internship]="Yes",1,0)</f>
        <v>1</v>
      </c>
    </row>
    <row r="114" spans="1:14" x14ac:dyDescent="0.3">
      <c r="A114" t="s">
        <v>197</v>
      </c>
      <c r="B114" t="s">
        <v>43</v>
      </c>
      <c r="C114">
        <v>6.8</v>
      </c>
      <c r="D114" t="s">
        <v>22</v>
      </c>
      <c r="E114" t="s">
        <v>58</v>
      </c>
      <c r="F114" t="s">
        <v>32</v>
      </c>
      <c r="G114">
        <v>0</v>
      </c>
      <c r="H114" t="s">
        <v>33</v>
      </c>
      <c r="I114" t="s">
        <v>33</v>
      </c>
      <c r="J114" t="s">
        <v>197</v>
      </c>
      <c r="K114">
        <f>IF(tblPlacement[Placement_Status]="Placed",1,0)</f>
        <v>0</v>
      </c>
      <c r="L114" t="str">
        <f>IF(tblPlacement[CGPA]&gt;=9,"9+", IF(tblPlacement[CGPA]&gt;=8,"8-9",IF(tblPlacement[CGPA]&gt;=7,"7-8","Below 7")))</f>
        <v>Below 7</v>
      </c>
      <c r="M114" t="str">
        <f>IF(tblPlacement[Package_LPA]&gt;=15,"High",IF(tblPlacement[Package_LPA]&gt;=8,"Medium","Low"))</f>
        <v>Low</v>
      </c>
      <c r="N114">
        <f>IF(tblPlacement[Internship]="Yes",1,0)</f>
        <v>0</v>
      </c>
    </row>
    <row r="115" spans="1:14" x14ac:dyDescent="0.3">
      <c r="A115" t="s">
        <v>198</v>
      </c>
      <c r="B115" t="s">
        <v>20</v>
      </c>
      <c r="C115">
        <v>6.6</v>
      </c>
      <c r="D115" t="s">
        <v>22</v>
      </c>
      <c r="E115" t="s">
        <v>71</v>
      </c>
      <c r="F115" t="s">
        <v>32</v>
      </c>
      <c r="G115">
        <v>0</v>
      </c>
      <c r="H115" t="s">
        <v>33</v>
      </c>
      <c r="I115" t="s">
        <v>33</v>
      </c>
      <c r="J115" t="s">
        <v>198</v>
      </c>
      <c r="K115">
        <f>IF(tblPlacement[Placement_Status]="Placed",1,0)</f>
        <v>0</v>
      </c>
      <c r="L115" t="str">
        <f>IF(tblPlacement[CGPA]&gt;=9,"9+", IF(tblPlacement[CGPA]&gt;=8,"8-9",IF(tblPlacement[CGPA]&gt;=7,"7-8","Below 7")))</f>
        <v>Below 7</v>
      </c>
      <c r="M115" t="str">
        <f>IF(tblPlacement[Package_LPA]&gt;=15,"High",IF(tblPlacement[Package_LPA]&gt;=8,"Medium","Low"))</f>
        <v>Low</v>
      </c>
      <c r="N115">
        <f>IF(tblPlacement[Internship]="Yes",1,0)</f>
        <v>0</v>
      </c>
    </row>
    <row r="116" spans="1:14" x14ac:dyDescent="0.3">
      <c r="A116" t="s">
        <v>199</v>
      </c>
      <c r="B116" t="s">
        <v>20</v>
      </c>
      <c r="C116">
        <v>7.4</v>
      </c>
      <c r="D116" t="s">
        <v>11</v>
      </c>
      <c r="E116" t="s">
        <v>200</v>
      </c>
      <c r="F116" t="s">
        <v>13</v>
      </c>
      <c r="G116">
        <v>18.5</v>
      </c>
      <c r="H116" t="s">
        <v>19</v>
      </c>
      <c r="I116" t="s">
        <v>20</v>
      </c>
      <c r="J116" t="s">
        <v>199</v>
      </c>
      <c r="K116">
        <f>IF(tblPlacement[Placement_Status]="Placed",1,0)</f>
        <v>1</v>
      </c>
      <c r="L116" t="str">
        <f>IF(tblPlacement[CGPA]&gt;=9,"9+", IF(tblPlacement[CGPA]&gt;=8,"8-9",IF(tblPlacement[CGPA]&gt;=7,"7-8","Below 7")))</f>
        <v>7-8</v>
      </c>
      <c r="M116" t="str">
        <f>IF(tblPlacement[Package_LPA]&gt;=15,"High",IF(tblPlacement[Package_LPA]&gt;=8,"Medium","Low"))</f>
        <v>High</v>
      </c>
      <c r="N116">
        <f>IF(tblPlacement[Internship]="Yes",1,0)</f>
        <v>1</v>
      </c>
    </row>
    <row r="117" spans="1:14" x14ac:dyDescent="0.3">
      <c r="A117" t="s">
        <v>201</v>
      </c>
      <c r="B117" t="s">
        <v>17</v>
      </c>
      <c r="C117">
        <v>7</v>
      </c>
      <c r="D117" t="s">
        <v>22</v>
      </c>
      <c r="E117" t="s">
        <v>86</v>
      </c>
      <c r="F117" t="s">
        <v>13</v>
      </c>
      <c r="G117">
        <v>9.6999999999999993</v>
      </c>
      <c r="H117" t="s">
        <v>47</v>
      </c>
      <c r="I117" t="s">
        <v>20</v>
      </c>
      <c r="J117" t="s">
        <v>201</v>
      </c>
      <c r="K117">
        <f>IF(tblPlacement[Placement_Status]="Placed",1,0)</f>
        <v>1</v>
      </c>
      <c r="L117" t="str">
        <f>IF(tblPlacement[CGPA]&gt;=9,"9+", IF(tblPlacement[CGPA]&gt;=8,"8-9",IF(tblPlacement[CGPA]&gt;=7,"7-8","Below 7")))</f>
        <v>7-8</v>
      </c>
      <c r="M117" t="str">
        <f>IF(tblPlacement[Package_LPA]&gt;=15,"High",IF(tblPlacement[Package_LPA]&gt;=8,"Medium","Low"))</f>
        <v>Medium</v>
      </c>
      <c r="N117">
        <f>IF(tblPlacement[Internship]="Yes",1,0)</f>
        <v>0</v>
      </c>
    </row>
    <row r="118" spans="1:14" x14ac:dyDescent="0.3">
      <c r="A118" t="s">
        <v>202</v>
      </c>
      <c r="B118" t="s">
        <v>10</v>
      </c>
      <c r="C118">
        <v>9</v>
      </c>
      <c r="D118" t="s">
        <v>22</v>
      </c>
      <c r="E118" t="s">
        <v>110</v>
      </c>
      <c r="F118" t="s">
        <v>32</v>
      </c>
      <c r="G118">
        <v>0</v>
      </c>
      <c r="H118" t="s">
        <v>33</v>
      </c>
      <c r="I118" t="s">
        <v>33</v>
      </c>
      <c r="J118" t="s">
        <v>202</v>
      </c>
      <c r="K118">
        <f>IF(tblPlacement[Placement_Status]="Placed",1,0)</f>
        <v>0</v>
      </c>
      <c r="L118" t="str">
        <f>IF(tblPlacement[CGPA]&gt;=9,"9+", IF(tblPlacement[CGPA]&gt;=8,"8-9",IF(tblPlacement[CGPA]&gt;=7,"7-8","Below 7")))</f>
        <v>9+</v>
      </c>
      <c r="M118" t="str">
        <f>IF(tblPlacement[Package_LPA]&gt;=15,"High",IF(tblPlacement[Package_LPA]&gt;=8,"Medium","Low"))</f>
        <v>Low</v>
      </c>
      <c r="N118">
        <f>IF(tblPlacement[Internship]="Yes",1,0)</f>
        <v>0</v>
      </c>
    </row>
    <row r="119" spans="1:14" x14ac:dyDescent="0.3">
      <c r="A119" t="s">
        <v>203</v>
      </c>
      <c r="B119" t="s">
        <v>17</v>
      </c>
      <c r="C119">
        <v>9.6</v>
      </c>
      <c r="D119" t="s">
        <v>11</v>
      </c>
      <c r="E119" t="s">
        <v>46</v>
      </c>
      <c r="F119" t="s">
        <v>32</v>
      </c>
      <c r="G119">
        <v>0</v>
      </c>
      <c r="H119" t="s">
        <v>33</v>
      </c>
      <c r="I119" t="s">
        <v>33</v>
      </c>
      <c r="J119" t="s">
        <v>203</v>
      </c>
      <c r="K119">
        <f>IF(tblPlacement[Placement_Status]="Placed",1,0)</f>
        <v>0</v>
      </c>
      <c r="L119" t="str">
        <f>IF(tblPlacement[CGPA]&gt;=9,"9+", IF(tblPlacement[CGPA]&gt;=8,"8-9",IF(tblPlacement[CGPA]&gt;=7,"7-8","Below 7")))</f>
        <v>9+</v>
      </c>
      <c r="M119" t="str">
        <f>IF(tblPlacement[Package_LPA]&gt;=15,"High",IF(tblPlacement[Package_LPA]&gt;=8,"Medium","Low"))</f>
        <v>Low</v>
      </c>
      <c r="N119">
        <f>IF(tblPlacement[Internship]="Yes",1,0)</f>
        <v>1</v>
      </c>
    </row>
    <row r="120" spans="1:14" x14ac:dyDescent="0.3">
      <c r="A120" t="s">
        <v>204</v>
      </c>
      <c r="B120" t="s">
        <v>20</v>
      </c>
      <c r="C120">
        <v>7.6</v>
      </c>
      <c r="D120" t="s">
        <v>11</v>
      </c>
      <c r="E120" t="s">
        <v>39</v>
      </c>
      <c r="F120" t="s">
        <v>13</v>
      </c>
      <c r="G120">
        <v>11.8</v>
      </c>
      <c r="H120" t="s">
        <v>72</v>
      </c>
      <c r="I120" t="s">
        <v>20</v>
      </c>
      <c r="J120" t="s">
        <v>204</v>
      </c>
      <c r="K120">
        <f>IF(tblPlacement[Placement_Status]="Placed",1,0)</f>
        <v>1</v>
      </c>
      <c r="L120" t="str">
        <f>IF(tblPlacement[CGPA]&gt;=9,"9+", IF(tblPlacement[CGPA]&gt;=8,"8-9",IF(tblPlacement[CGPA]&gt;=7,"7-8","Below 7")))</f>
        <v>7-8</v>
      </c>
      <c r="M120" t="str">
        <f>IF(tblPlacement[Package_LPA]&gt;=15,"High",IF(tblPlacement[Package_LPA]&gt;=8,"Medium","Low"))</f>
        <v>Medium</v>
      </c>
      <c r="N120">
        <f>IF(tblPlacement[Internship]="Yes",1,0)</f>
        <v>1</v>
      </c>
    </row>
    <row r="121" spans="1:14" x14ac:dyDescent="0.3">
      <c r="A121" t="s">
        <v>205</v>
      </c>
      <c r="B121" t="s">
        <v>131</v>
      </c>
      <c r="C121">
        <v>6.8</v>
      </c>
      <c r="D121" t="s">
        <v>22</v>
      </c>
      <c r="E121" t="s">
        <v>86</v>
      </c>
      <c r="F121" t="s">
        <v>32</v>
      </c>
      <c r="G121">
        <v>0</v>
      </c>
      <c r="H121" t="s">
        <v>33</v>
      </c>
      <c r="I121" t="s">
        <v>33</v>
      </c>
      <c r="J121" t="s">
        <v>205</v>
      </c>
      <c r="K121">
        <f>IF(tblPlacement[Placement_Status]="Placed",1,0)</f>
        <v>0</v>
      </c>
      <c r="L121" t="str">
        <f>IF(tblPlacement[CGPA]&gt;=9,"9+", IF(tblPlacement[CGPA]&gt;=8,"8-9",IF(tblPlacement[CGPA]&gt;=7,"7-8","Below 7")))</f>
        <v>Below 7</v>
      </c>
      <c r="M121" t="str">
        <f>IF(tblPlacement[Package_LPA]&gt;=15,"High",IF(tblPlacement[Package_LPA]&gt;=8,"Medium","Low"))</f>
        <v>Low</v>
      </c>
      <c r="N121">
        <f>IF(tblPlacement[Internship]="Yes",1,0)</f>
        <v>0</v>
      </c>
    </row>
    <row r="122" spans="1:14" x14ac:dyDescent="0.3">
      <c r="A122" t="s">
        <v>206</v>
      </c>
      <c r="B122" t="s">
        <v>43</v>
      </c>
      <c r="C122">
        <v>9.1999999999999993</v>
      </c>
      <c r="D122" t="s">
        <v>11</v>
      </c>
      <c r="E122" t="s">
        <v>39</v>
      </c>
      <c r="F122" t="s">
        <v>13</v>
      </c>
      <c r="G122">
        <v>13.6</v>
      </c>
      <c r="H122" t="s">
        <v>207</v>
      </c>
      <c r="I122" t="s">
        <v>65</v>
      </c>
      <c r="J122" t="s">
        <v>206</v>
      </c>
      <c r="K122">
        <f>IF(tblPlacement[Placement_Status]="Placed",1,0)</f>
        <v>1</v>
      </c>
      <c r="L122" t="str">
        <f>IF(tblPlacement[CGPA]&gt;=9,"9+", IF(tblPlacement[CGPA]&gt;=8,"8-9",IF(tblPlacement[CGPA]&gt;=7,"7-8","Below 7")))</f>
        <v>9+</v>
      </c>
      <c r="M122" t="str">
        <f>IF(tblPlacement[Package_LPA]&gt;=15,"High",IF(tblPlacement[Package_LPA]&gt;=8,"Medium","Low"))</f>
        <v>Medium</v>
      </c>
      <c r="N122">
        <f>IF(tblPlacement[Internship]="Yes",1,0)</f>
        <v>1</v>
      </c>
    </row>
    <row r="123" spans="1:14" x14ac:dyDescent="0.3">
      <c r="A123" t="s">
        <v>208</v>
      </c>
      <c r="B123" t="s">
        <v>10</v>
      </c>
      <c r="C123">
        <v>6.5</v>
      </c>
      <c r="D123" t="s">
        <v>11</v>
      </c>
      <c r="E123" t="s">
        <v>112</v>
      </c>
      <c r="F123" t="s">
        <v>13</v>
      </c>
      <c r="G123">
        <v>9.6999999999999993</v>
      </c>
      <c r="H123" t="s">
        <v>14</v>
      </c>
      <c r="I123" t="s">
        <v>15</v>
      </c>
      <c r="J123" t="s">
        <v>208</v>
      </c>
      <c r="K123">
        <f>IF(tblPlacement[Placement_Status]="Placed",1,0)</f>
        <v>1</v>
      </c>
      <c r="L123" t="str">
        <f>IF(tblPlacement[CGPA]&gt;=9,"9+", IF(tblPlacement[CGPA]&gt;=8,"8-9",IF(tblPlacement[CGPA]&gt;=7,"7-8","Below 7")))</f>
        <v>Below 7</v>
      </c>
      <c r="M123" t="str">
        <f>IF(tblPlacement[Package_LPA]&gt;=15,"High",IF(tblPlacement[Package_LPA]&gt;=8,"Medium","Low"))</f>
        <v>Medium</v>
      </c>
      <c r="N123">
        <f>IF(tblPlacement[Internship]="Yes",1,0)</f>
        <v>1</v>
      </c>
    </row>
    <row r="124" spans="1:14" x14ac:dyDescent="0.3">
      <c r="A124" t="s">
        <v>209</v>
      </c>
      <c r="B124" t="s">
        <v>10</v>
      </c>
      <c r="C124">
        <v>9.4</v>
      </c>
      <c r="D124" t="s">
        <v>11</v>
      </c>
      <c r="E124" t="s">
        <v>185</v>
      </c>
      <c r="F124" t="s">
        <v>13</v>
      </c>
      <c r="G124">
        <v>13.5</v>
      </c>
      <c r="H124" t="s">
        <v>41</v>
      </c>
      <c r="I124" t="s">
        <v>15</v>
      </c>
      <c r="J124" t="s">
        <v>209</v>
      </c>
      <c r="K124">
        <f>IF(tblPlacement[Placement_Status]="Placed",1,0)</f>
        <v>1</v>
      </c>
      <c r="L124" t="str">
        <f>IF(tblPlacement[CGPA]&gt;=9,"9+", IF(tblPlacement[CGPA]&gt;=8,"8-9",IF(tblPlacement[CGPA]&gt;=7,"7-8","Below 7")))</f>
        <v>9+</v>
      </c>
      <c r="M124" t="str">
        <f>IF(tblPlacement[Package_LPA]&gt;=15,"High",IF(tblPlacement[Package_LPA]&gt;=8,"Medium","Low"))</f>
        <v>Medium</v>
      </c>
      <c r="N124">
        <f>IF(tblPlacement[Internship]="Yes",1,0)</f>
        <v>1</v>
      </c>
    </row>
    <row r="125" spans="1:14" x14ac:dyDescent="0.3">
      <c r="A125" t="s">
        <v>210</v>
      </c>
      <c r="B125" t="s">
        <v>43</v>
      </c>
      <c r="C125">
        <v>6</v>
      </c>
      <c r="D125" t="s">
        <v>11</v>
      </c>
      <c r="E125" t="s">
        <v>60</v>
      </c>
      <c r="F125" t="s">
        <v>32</v>
      </c>
      <c r="G125">
        <v>0</v>
      </c>
      <c r="H125" t="s">
        <v>33</v>
      </c>
      <c r="I125" t="s">
        <v>33</v>
      </c>
      <c r="J125" t="s">
        <v>210</v>
      </c>
      <c r="K125">
        <f>IF(tblPlacement[Placement_Status]="Placed",1,0)</f>
        <v>0</v>
      </c>
      <c r="L125" t="str">
        <f>IF(tblPlacement[CGPA]&gt;=9,"9+", IF(tblPlacement[CGPA]&gt;=8,"8-9",IF(tblPlacement[CGPA]&gt;=7,"7-8","Below 7")))</f>
        <v>Below 7</v>
      </c>
      <c r="M125" t="str">
        <f>IF(tblPlacement[Package_LPA]&gt;=15,"High",IF(tblPlacement[Package_LPA]&gt;=8,"Medium","Low"))</f>
        <v>Low</v>
      </c>
      <c r="N125">
        <f>IF(tblPlacement[Internship]="Yes",1,0)</f>
        <v>1</v>
      </c>
    </row>
    <row r="126" spans="1:14" x14ac:dyDescent="0.3">
      <c r="A126" t="s">
        <v>211</v>
      </c>
      <c r="B126" t="s">
        <v>17</v>
      </c>
      <c r="C126">
        <v>9.4</v>
      </c>
      <c r="D126" t="s">
        <v>11</v>
      </c>
      <c r="E126" t="s">
        <v>76</v>
      </c>
      <c r="F126" t="s">
        <v>13</v>
      </c>
      <c r="G126">
        <v>17.399999999999999</v>
      </c>
      <c r="H126" t="s">
        <v>24</v>
      </c>
      <c r="I126" t="s">
        <v>20</v>
      </c>
      <c r="J126" t="s">
        <v>211</v>
      </c>
      <c r="K126">
        <f>IF(tblPlacement[Placement_Status]="Placed",1,0)</f>
        <v>1</v>
      </c>
      <c r="L126" t="str">
        <f>IF(tblPlacement[CGPA]&gt;=9,"9+", IF(tblPlacement[CGPA]&gt;=8,"8-9",IF(tblPlacement[CGPA]&gt;=7,"7-8","Below 7")))</f>
        <v>9+</v>
      </c>
      <c r="M126" t="str">
        <f>IF(tblPlacement[Package_LPA]&gt;=15,"High",IF(tblPlacement[Package_LPA]&gt;=8,"Medium","Low"))</f>
        <v>High</v>
      </c>
      <c r="N126">
        <f>IF(tblPlacement[Internship]="Yes",1,0)</f>
        <v>1</v>
      </c>
    </row>
    <row r="127" spans="1:14" x14ac:dyDescent="0.3">
      <c r="A127" t="s">
        <v>212</v>
      </c>
      <c r="B127" t="s">
        <v>30</v>
      </c>
      <c r="C127">
        <v>6.5</v>
      </c>
      <c r="D127" t="s">
        <v>11</v>
      </c>
      <c r="E127" t="s">
        <v>35</v>
      </c>
      <c r="F127" t="s">
        <v>13</v>
      </c>
      <c r="G127">
        <v>13.9</v>
      </c>
      <c r="H127" t="s">
        <v>24</v>
      </c>
      <c r="I127" t="s">
        <v>20</v>
      </c>
      <c r="J127" t="s">
        <v>212</v>
      </c>
      <c r="K127">
        <f>IF(tblPlacement[Placement_Status]="Placed",1,0)</f>
        <v>1</v>
      </c>
      <c r="L127" t="str">
        <f>IF(tblPlacement[CGPA]&gt;=9,"9+", IF(tblPlacement[CGPA]&gt;=8,"8-9",IF(tblPlacement[CGPA]&gt;=7,"7-8","Below 7")))</f>
        <v>Below 7</v>
      </c>
      <c r="M127" t="str">
        <f>IF(tblPlacement[Package_LPA]&gt;=15,"High",IF(tblPlacement[Package_LPA]&gt;=8,"Medium","Low"))</f>
        <v>Medium</v>
      </c>
      <c r="N127">
        <f>IF(tblPlacement[Internship]="Yes",1,0)</f>
        <v>1</v>
      </c>
    </row>
    <row r="128" spans="1:14" x14ac:dyDescent="0.3">
      <c r="A128" t="s">
        <v>213</v>
      </c>
      <c r="B128" t="s">
        <v>20</v>
      </c>
      <c r="C128">
        <v>6.4</v>
      </c>
      <c r="D128" t="s">
        <v>22</v>
      </c>
      <c r="E128" t="s">
        <v>86</v>
      </c>
      <c r="F128" t="s">
        <v>32</v>
      </c>
      <c r="G128">
        <v>0</v>
      </c>
      <c r="H128" t="s">
        <v>33</v>
      </c>
      <c r="I128" t="s">
        <v>33</v>
      </c>
      <c r="J128" t="s">
        <v>213</v>
      </c>
      <c r="K128">
        <f>IF(tblPlacement[Placement_Status]="Placed",1,0)</f>
        <v>0</v>
      </c>
      <c r="L128" t="str">
        <f>IF(tblPlacement[CGPA]&gt;=9,"9+", IF(tblPlacement[CGPA]&gt;=8,"8-9",IF(tblPlacement[CGPA]&gt;=7,"7-8","Below 7")))</f>
        <v>Below 7</v>
      </c>
      <c r="M128" t="str">
        <f>IF(tblPlacement[Package_LPA]&gt;=15,"High",IF(tblPlacement[Package_LPA]&gt;=8,"Medium","Low"))</f>
        <v>Low</v>
      </c>
      <c r="N128">
        <f>IF(tblPlacement[Internship]="Yes",1,0)</f>
        <v>0</v>
      </c>
    </row>
    <row r="129" spans="1:14" x14ac:dyDescent="0.3">
      <c r="A129" t="s">
        <v>214</v>
      </c>
      <c r="B129" t="s">
        <v>43</v>
      </c>
      <c r="C129">
        <v>5.7</v>
      </c>
      <c r="D129" t="s">
        <v>11</v>
      </c>
      <c r="E129" t="s">
        <v>39</v>
      </c>
      <c r="F129" t="s">
        <v>32</v>
      </c>
      <c r="G129">
        <v>0</v>
      </c>
      <c r="H129" t="s">
        <v>33</v>
      </c>
      <c r="I129" t="s">
        <v>33</v>
      </c>
      <c r="J129" t="s">
        <v>214</v>
      </c>
      <c r="K129">
        <f>IF(tblPlacement[Placement_Status]="Placed",1,0)</f>
        <v>0</v>
      </c>
      <c r="L129" t="str">
        <f>IF(tblPlacement[CGPA]&gt;=9,"9+", IF(tblPlacement[CGPA]&gt;=8,"8-9",IF(tblPlacement[CGPA]&gt;=7,"7-8","Below 7")))</f>
        <v>Below 7</v>
      </c>
      <c r="M129" t="str">
        <f>IF(tblPlacement[Package_LPA]&gt;=15,"High",IF(tblPlacement[Package_LPA]&gt;=8,"Medium","Low"))</f>
        <v>Low</v>
      </c>
      <c r="N129">
        <f>IF(tblPlacement[Internship]="Yes",1,0)</f>
        <v>1</v>
      </c>
    </row>
    <row r="130" spans="1:14" x14ac:dyDescent="0.3">
      <c r="A130" t="s">
        <v>215</v>
      </c>
      <c r="B130" t="s">
        <v>131</v>
      </c>
      <c r="C130">
        <v>6.6</v>
      </c>
      <c r="D130" t="s">
        <v>22</v>
      </c>
      <c r="E130" t="s">
        <v>23</v>
      </c>
      <c r="F130" t="s">
        <v>13</v>
      </c>
      <c r="G130">
        <v>14</v>
      </c>
      <c r="H130" t="s">
        <v>207</v>
      </c>
      <c r="I130" t="s">
        <v>65</v>
      </c>
      <c r="J130" t="s">
        <v>215</v>
      </c>
      <c r="K130">
        <f>IF(tblPlacement[Placement_Status]="Placed",1,0)</f>
        <v>1</v>
      </c>
      <c r="L130" t="str">
        <f>IF(tblPlacement[CGPA]&gt;=9,"9+", IF(tblPlacement[CGPA]&gt;=8,"8-9",IF(tblPlacement[CGPA]&gt;=7,"7-8","Below 7")))</f>
        <v>Below 7</v>
      </c>
      <c r="M130" t="str">
        <f>IF(tblPlacement[Package_LPA]&gt;=15,"High",IF(tblPlacement[Package_LPA]&gt;=8,"Medium","Low"))</f>
        <v>Medium</v>
      </c>
      <c r="N130">
        <f>IF(tblPlacement[Internship]="Yes",1,0)</f>
        <v>0</v>
      </c>
    </row>
    <row r="131" spans="1:14" x14ac:dyDescent="0.3">
      <c r="A131" t="s">
        <v>216</v>
      </c>
      <c r="B131" t="s">
        <v>43</v>
      </c>
      <c r="C131">
        <v>9</v>
      </c>
      <c r="D131" t="s">
        <v>22</v>
      </c>
      <c r="E131" t="s">
        <v>69</v>
      </c>
      <c r="F131" t="s">
        <v>32</v>
      </c>
      <c r="G131">
        <v>0</v>
      </c>
      <c r="H131" t="s">
        <v>33</v>
      </c>
      <c r="I131" t="s">
        <v>33</v>
      </c>
      <c r="J131" t="s">
        <v>216</v>
      </c>
      <c r="K131">
        <f>IF(tblPlacement[Placement_Status]="Placed",1,0)</f>
        <v>0</v>
      </c>
      <c r="L131" t="str">
        <f>IF(tblPlacement[CGPA]&gt;=9,"9+", IF(tblPlacement[CGPA]&gt;=8,"8-9",IF(tblPlacement[CGPA]&gt;=7,"7-8","Below 7")))</f>
        <v>9+</v>
      </c>
      <c r="M131" t="str">
        <f>IF(tblPlacement[Package_LPA]&gt;=15,"High",IF(tblPlacement[Package_LPA]&gt;=8,"Medium","Low"))</f>
        <v>Low</v>
      </c>
      <c r="N131">
        <f>IF(tblPlacement[Internship]="Yes",1,0)</f>
        <v>0</v>
      </c>
    </row>
    <row r="132" spans="1:14" x14ac:dyDescent="0.3">
      <c r="A132" t="s">
        <v>217</v>
      </c>
      <c r="B132" t="s">
        <v>20</v>
      </c>
      <c r="C132">
        <v>8.1</v>
      </c>
      <c r="D132" t="s">
        <v>22</v>
      </c>
      <c r="E132" t="s">
        <v>39</v>
      </c>
      <c r="F132" t="s">
        <v>32</v>
      </c>
      <c r="G132">
        <v>0</v>
      </c>
      <c r="H132" t="s">
        <v>33</v>
      </c>
      <c r="I132" t="s">
        <v>33</v>
      </c>
      <c r="J132" t="s">
        <v>217</v>
      </c>
      <c r="K132">
        <f>IF(tblPlacement[Placement_Status]="Placed",1,0)</f>
        <v>0</v>
      </c>
      <c r="L132" t="str">
        <f>IF(tblPlacement[CGPA]&gt;=9,"9+", IF(tblPlacement[CGPA]&gt;=8,"8-9",IF(tblPlacement[CGPA]&gt;=7,"7-8","Below 7")))</f>
        <v>8-9</v>
      </c>
      <c r="M132" t="str">
        <f>IF(tblPlacement[Package_LPA]&gt;=15,"High",IF(tblPlacement[Package_LPA]&gt;=8,"Medium","Low"))</f>
        <v>Low</v>
      </c>
      <c r="N132">
        <f>IF(tblPlacement[Internship]="Yes",1,0)</f>
        <v>0</v>
      </c>
    </row>
    <row r="133" spans="1:14" x14ac:dyDescent="0.3">
      <c r="A133" t="s">
        <v>218</v>
      </c>
      <c r="B133" t="s">
        <v>26</v>
      </c>
      <c r="C133">
        <v>8.1999999999999993</v>
      </c>
      <c r="D133" t="s">
        <v>11</v>
      </c>
      <c r="E133" t="s">
        <v>84</v>
      </c>
      <c r="F133" t="s">
        <v>13</v>
      </c>
      <c r="G133">
        <v>14.3</v>
      </c>
      <c r="H133" t="s">
        <v>64</v>
      </c>
      <c r="I133" t="s">
        <v>65</v>
      </c>
      <c r="J133" t="s">
        <v>218</v>
      </c>
      <c r="K133">
        <f>IF(tblPlacement[Placement_Status]="Placed",1,0)</f>
        <v>1</v>
      </c>
      <c r="L133" t="str">
        <f>IF(tblPlacement[CGPA]&gt;=9,"9+", IF(tblPlacement[CGPA]&gt;=8,"8-9",IF(tblPlacement[CGPA]&gt;=7,"7-8","Below 7")))</f>
        <v>8-9</v>
      </c>
      <c r="M133" t="str">
        <f>IF(tblPlacement[Package_LPA]&gt;=15,"High",IF(tblPlacement[Package_LPA]&gt;=8,"Medium","Low"))</f>
        <v>Medium</v>
      </c>
      <c r="N133">
        <f>IF(tblPlacement[Internship]="Yes",1,0)</f>
        <v>1</v>
      </c>
    </row>
    <row r="134" spans="1:14" x14ac:dyDescent="0.3">
      <c r="A134" t="s">
        <v>219</v>
      </c>
      <c r="B134" t="s">
        <v>20</v>
      </c>
      <c r="C134">
        <v>7.1</v>
      </c>
      <c r="D134" t="s">
        <v>11</v>
      </c>
      <c r="E134" t="s">
        <v>46</v>
      </c>
      <c r="F134" t="s">
        <v>13</v>
      </c>
      <c r="G134">
        <v>7.7</v>
      </c>
      <c r="H134" t="s">
        <v>67</v>
      </c>
      <c r="I134" t="s">
        <v>20</v>
      </c>
      <c r="J134" t="s">
        <v>219</v>
      </c>
      <c r="K134">
        <f>IF(tblPlacement[Placement_Status]="Placed",1,0)</f>
        <v>1</v>
      </c>
      <c r="L134" t="str">
        <f>IF(tblPlacement[CGPA]&gt;=9,"9+", IF(tblPlacement[CGPA]&gt;=8,"8-9",IF(tblPlacement[CGPA]&gt;=7,"7-8","Below 7")))</f>
        <v>7-8</v>
      </c>
      <c r="M134" t="str">
        <f>IF(tblPlacement[Package_LPA]&gt;=15,"High",IF(tblPlacement[Package_LPA]&gt;=8,"Medium","Low"))</f>
        <v>Low</v>
      </c>
      <c r="N134">
        <f>IF(tblPlacement[Internship]="Yes",1,0)</f>
        <v>1</v>
      </c>
    </row>
    <row r="135" spans="1:14" x14ac:dyDescent="0.3">
      <c r="A135" t="s">
        <v>220</v>
      </c>
      <c r="B135" t="s">
        <v>43</v>
      </c>
      <c r="C135">
        <v>7.4</v>
      </c>
      <c r="D135" t="s">
        <v>22</v>
      </c>
      <c r="E135" t="s">
        <v>39</v>
      </c>
      <c r="F135" t="s">
        <v>32</v>
      </c>
      <c r="G135">
        <v>0</v>
      </c>
      <c r="H135" t="s">
        <v>33</v>
      </c>
      <c r="I135" t="s">
        <v>33</v>
      </c>
      <c r="J135" t="s">
        <v>220</v>
      </c>
      <c r="K135">
        <f>IF(tblPlacement[Placement_Status]="Placed",1,0)</f>
        <v>0</v>
      </c>
      <c r="L135" t="str">
        <f>IF(tblPlacement[CGPA]&gt;=9,"9+", IF(tblPlacement[CGPA]&gt;=8,"8-9",IF(tblPlacement[CGPA]&gt;=7,"7-8","Below 7")))</f>
        <v>7-8</v>
      </c>
      <c r="M135" t="str">
        <f>IF(tblPlacement[Package_LPA]&gt;=15,"High",IF(tblPlacement[Package_LPA]&gt;=8,"Medium","Low"))</f>
        <v>Low</v>
      </c>
      <c r="N135">
        <f>IF(tblPlacement[Internship]="Yes",1,0)</f>
        <v>0</v>
      </c>
    </row>
    <row r="136" spans="1:14" x14ac:dyDescent="0.3">
      <c r="A136" t="s">
        <v>221</v>
      </c>
      <c r="B136" t="s">
        <v>30</v>
      </c>
      <c r="C136">
        <v>5.5</v>
      </c>
      <c r="D136" t="s">
        <v>22</v>
      </c>
      <c r="E136" t="s">
        <v>18</v>
      </c>
      <c r="F136" t="s">
        <v>32</v>
      </c>
      <c r="G136">
        <v>0</v>
      </c>
      <c r="H136" t="s">
        <v>33</v>
      </c>
      <c r="I136" t="s">
        <v>33</v>
      </c>
      <c r="J136" t="s">
        <v>221</v>
      </c>
      <c r="K136">
        <f>IF(tblPlacement[Placement_Status]="Placed",1,0)</f>
        <v>0</v>
      </c>
      <c r="L136" t="str">
        <f>IF(tblPlacement[CGPA]&gt;=9,"9+", IF(tblPlacement[CGPA]&gt;=8,"8-9",IF(tblPlacement[CGPA]&gt;=7,"7-8","Below 7")))</f>
        <v>Below 7</v>
      </c>
      <c r="M136" t="str">
        <f>IF(tblPlacement[Package_LPA]&gt;=15,"High",IF(tblPlacement[Package_LPA]&gt;=8,"Medium","Low"))</f>
        <v>Low</v>
      </c>
      <c r="N136">
        <f>IF(tblPlacement[Internship]="Yes",1,0)</f>
        <v>0</v>
      </c>
    </row>
    <row r="137" spans="1:14" x14ac:dyDescent="0.3">
      <c r="A137" t="s">
        <v>222</v>
      </c>
      <c r="B137" t="s">
        <v>10</v>
      </c>
      <c r="C137">
        <v>9.6999999999999993</v>
      </c>
      <c r="D137" t="s">
        <v>22</v>
      </c>
      <c r="E137" t="s">
        <v>18</v>
      </c>
      <c r="F137" t="s">
        <v>13</v>
      </c>
      <c r="G137">
        <v>10.199999999999999</v>
      </c>
      <c r="H137" t="s">
        <v>14</v>
      </c>
      <c r="I137" t="s">
        <v>15</v>
      </c>
      <c r="J137" t="s">
        <v>222</v>
      </c>
      <c r="K137">
        <f>IF(tblPlacement[Placement_Status]="Placed",1,0)</f>
        <v>1</v>
      </c>
      <c r="L137" t="str">
        <f>IF(tblPlacement[CGPA]&gt;=9,"9+", IF(tblPlacement[CGPA]&gt;=8,"8-9",IF(tblPlacement[CGPA]&gt;=7,"7-8","Below 7")))</f>
        <v>9+</v>
      </c>
      <c r="M137" t="str">
        <f>IF(tblPlacement[Package_LPA]&gt;=15,"High",IF(tblPlacement[Package_LPA]&gt;=8,"Medium","Low"))</f>
        <v>Medium</v>
      </c>
      <c r="N137">
        <f>IF(tblPlacement[Internship]="Yes",1,0)</f>
        <v>0</v>
      </c>
    </row>
    <row r="138" spans="1:14" x14ac:dyDescent="0.3">
      <c r="A138" t="s">
        <v>223</v>
      </c>
      <c r="B138" t="s">
        <v>10</v>
      </c>
      <c r="C138">
        <v>8.3000000000000007</v>
      </c>
      <c r="D138" t="s">
        <v>22</v>
      </c>
      <c r="E138" t="s">
        <v>18</v>
      </c>
      <c r="F138" t="s">
        <v>13</v>
      </c>
      <c r="G138">
        <v>15.4</v>
      </c>
      <c r="H138" t="s">
        <v>224</v>
      </c>
      <c r="I138" t="s">
        <v>15</v>
      </c>
      <c r="J138" t="s">
        <v>223</v>
      </c>
      <c r="K138">
        <f>IF(tblPlacement[Placement_Status]="Placed",1,0)</f>
        <v>1</v>
      </c>
      <c r="L138" t="str">
        <f>IF(tblPlacement[CGPA]&gt;=9,"9+", IF(tblPlacement[CGPA]&gt;=8,"8-9",IF(tblPlacement[CGPA]&gt;=7,"7-8","Below 7")))</f>
        <v>8-9</v>
      </c>
      <c r="M138" t="str">
        <f>IF(tblPlacement[Package_LPA]&gt;=15,"High",IF(tblPlacement[Package_LPA]&gt;=8,"Medium","Low"))</f>
        <v>High</v>
      </c>
      <c r="N138">
        <f>IF(tblPlacement[Internship]="Yes",1,0)</f>
        <v>0</v>
      </c>
    </row>
    <row r="139" spans="1:14" x14ac:dyDescent="0.3">
      <c r="A139" t="s">
        <v>225</v>
      </c>
      <c r="B139" t="s">
        <v>17</v>
      </c>
      <c r="C139">
        <v>5.5</v>
      </c>
      <c r="D139" t="s">
        <v>22</v>
      </c>
      <c r="E139" t="s">
        <v>80</v>
      </c>
      <c r="F139" t="s">
        <v>32</v>
      </c>
      <c r="G139">
        <v>0</v>
      </c>
      <c r="H139" t="s">
        <v>33</v>
      </c>
      <c r="I139" t="s">
        <v>33</v>
      </c>
      <c r="J139" t="s">
        <v>225</v>
      </c>
      <c r="K139">
        <f>IF(tblPlacement[Placement_Status]="Placed",1,0)</f>
        <v>0</v>
      </c>
      <c r="L139" t="str">
        <f>IF(tblPlacement[CGPA]&gt;=9,"9+", IF(tblPlacement[CGPA]&gt;=8,"8-9",IF(tblPlacement[CGPA]&gt;=7,"7-8","Below 7")))</f>
        <v>Below 7</v>
      </c>
      <c r="M139" t="str">
        <f>IF(tblPlacement[Package_LPA]&gt;=15,"High",IF(tblPlacement[Package_LPA]&gt;=8,"Medium","Low"))</f>
        <v>Low</v>
      </c>
      <c r="N139">
        <f>IF(tblPlacement[Internship]="Yes",1,0)</f>
        <v>0</v>
      </c>
    </row>
    <row r="140" spans="1:14" x14ac:dyDescent="0.3">
      <c r="A140" t="s">
        <v>226</v>
      </c>
      <c r="B140" t="s">
        <v>17</v>
      </c>
      <c r="C140">
        <v>5.4</v>
      </c>
      <c r="D140" t="s">
        <v>11</v>
      </c>
      <c r="E140" t="s">
        <v>76</v>
      </c>
      <c r="F140" t="s">
        <v>13</v>
      </c>
      <c r="G140">
        <v>5.8</v>
      </c>
      <c r="H140" t="s">
        <v>53</v>
      </c>
      <c r="I140" t="s">
        <v>20</v>
      </c>
      <c r="J140" t="s">
        <v>226</v>
      </c>
      <c r="K140">
        <f>IF(tblPlacement[Placement_Status]="Placed",1,0)</f>
        <v>1</v>
      </c>
      <c r="L140" t="str">
        <f>IF(tblPlacement[CGPA]&gt;=9,"9+", IF(tblPlacement[CGPA]&gt;=8,"8-9",IF(tblPlacement[CGPA]&gt;=7,"7-8","Below 7")))</f>
        <v>Below 7</v>
      </c>
      <c r="M140" t="str">
        <f>IF(tblPlacement[Package_LPA]&gt;=15,"High",IF(tblPlacement[Package_LPA]&gt;=8,"Medium","Low"))</f>
        <v>Low</v>
      </c>
      <c r="N140">
        <f>IF(tblPlacement[Internship]="Yes",1,0)</f>
        <v>1</v>
      </c>
    </row>
    <row r="141" spans="1:14" x14ac:dyDescent="0.3">
      <c r="A141" t="s">
        <v>227</v>
      </c>
      <c r="B141" t="s">
        <v>20</v>
      </c>
      <c r="C141">
        <v>8.3000000000000007</v>
      </c>
      <c r="D141" t="s">
        <v>22</v>
      </c>
      <c r="E141" t="s">
        <v>200</v>
      </c>
      <c r="F141" t="s">
        <v>32</v>
      </c>
      <c r="G141">
        <v>0</v>
      </c>
      <c r="H141" t="s">
        <v>33</v>
      </c>
      <c r="I141" t="s">
        <v>33</v>
      </c>
      <c r="J141" t="s">
        <v>227</v>
      </c>
      <c r="K141">
        <f>IF(tblPlacement[Placement_Status]="Placed",1,0)</f>
        <v>0</v>
      </c>
      <c r="L141" t="str">
        <f>IF(tblPlacement[CGPA]&gt;=9,"9+", IF(tblPlacement[CGPA]&gt;=8,"8-9",IF(tblPlacement[CGPA]&gt;=7,"7-8","Below 7")))</f>
        <v>8-9</v>
      </c>
      <c r="M141" t="str">
        <f>IF(tblPlacement[Package_LPA]&gt;=15,"High",IF(tblPlacement[Package_LPA]&gt;=8,"Medium","Low"))</f>
        <v>Low</v>
      </c>
      <c r="N141">
        <f>IF(tblPlacement[Internship]="Yes",1,0)</f>
        <v>0</v>
      </c>
    </row>
    <row r="142" spans="1:14" x14ac:dyDescent="0.3">
      <c r="A142" t="s">
        <v>228</v>
      </c>
      <c r="B142" t="s">
        <v>10</v>
      </c>
      <c r="C142">
        <v>9.3000000000000007</v>
      </c>
      <c r="D142" t="s">
        <v>22</v>
      </c>
      <c r="E142" t="s">
        <v>110</v>
      </c>
      <c r="F142" t="s">
        <v>13</v>
      </c>
      <c r="G142">
        <v>6.7</v>
      </c>
      <c r="H142" t="s">
        <v>224</v>
      </c>
      <c r="I142" t="s">
        <v>15</v>
      </c>
      <c r="J142" t="s">
        <v>228</v>
      </c>
      <c r="K142">
        <f>IF(tblPlacement[Placement_Status]="Placed",1,0)</f>
        <v>1</v>
      </c>
      <c r="L142" t="str">
        <f>IF(tblPlacement[CGPA]&gt;=9,"9+", IF(tblPlacement[CGPA]&gt;=8,"8-9",IF(tblPlacement[CGPA]&gt;=7,"7-8","Below 7")))</f>
        <v>9+</v>
      </c>
      <c r="M142" t="str">
        <f>IF(tblPlacement[Package_LPA]&gt;=15,"High",IF(tblPlacement[Package_LPA]&gt;=8,"Medium","Low"))</f>
        <v>Low</v>
      </c>
      <c r="N142">
        <f>IF(tblPlacement[Internship]="Yes",1,0)</f>
        <v>0</v>
      </c>
    </row>
    <row r="143" spans="1:14" x14ac:dyDescent="0.3">
      <c r="A143" t="s">
        <v>229</v>
      </c>
      <c r="B143" t="s">
        <v>20</v>
      </c>
      <c r="C143">
        <v>6.3</v>
      </c>
      <c r="D143" t="s">
        <v>11</v>
      </c>
      <c r="E143" t="s">
        <v>46</v>
      </c>
      <c r="F143" t="s">
        <v>13</v>
      </c>
      <c r="G143">
        <v>9.8000000000000007</v>
      </c>
      <c r="H143" t="s">
        <v>51</v>
      </c>
      <c r="I143" t="s">
        <v>20</v>
      </c>
      <c r="J143" t="s">
        <v>229</v>
      </c>
      <c r="K143">
        <f>IF(tblPlacement[Placement_Status]="Placed",1,0)</f>
        <v>1</v>
      </c>
      <c r="L143" t="str">
        <f>IF(tblPlacement[CGPA]&gt;=9,"9+", IF(tblPlacement[CGPA]&gt;=8,"8-9",IF(tblPlacement[CGPA]&gt;=7,"7-8","Below 7")))</f>
        <v>Below 7</v>
      </c>
      <c r="M143" t="str">
        <f>IF(tblPlacement[Package_LPA]&gt;=15,"High",IF(tblPlacement[Package_LPA]&gt;=8,"Medium","Low"))</f>
        <v>Medium</v>
      </c>
      <c r="N143">
        <f>IF(tblPlacement[Internship]="Yes",1,0)</f>
        <v>1</v>
      </c>
    </row>
    <row r="144" spans="1:14" x14ac:dyDescent="0.3">
      <c r="A144" t="s">
        <v>230</v>
      </c>
      <c r="B144" t="s">
        <v>17</v>
      </c>
      <c r="C144">
        <v>5.8</v>
      </c>
      <c r="D144" t="s">
        <v>22</v>
      </c>
      <c r="E144" t="s">
        <v>76</v>
      </c>
      <c r="F144" t="s">
        <v>13</v>
      </c>
      <c r="G144">
        <v>4.2</v>
      </c>
      <c r="H144" t="s">
        <v>51</v>
      </c>
      <c r="I144" t="s">
        <v>20</v>
      </c>
      <c r="J144" t="s">
        <v>230</v>
      </c>
      <c r="K144">
        <f>IF(tblPlacement[Placement_Status]="Placed",1,0)</f>
        <v>1</v>
      </c>
      <c r="L144" t="str">
        <f>IF(tblPlacement[CGPA]&gt;=9,"9+", IF(tblPlacement[CGPA]&gt;=8,"8-9",IF(tblPlacement[CGPA]&gt;=7,"7-8","Below 7")))</f>
        <v>Below 7</v>
      </c>
      <c r="M144" t="str">
        <f>IF(tblPlacement[Package_LPA]&gt;=15,"High",IF(tblPlacement[Package_LPA]&gt;=8,"Medium","Low"))</f>
        <v>Low</v>
      </c>
      <c r="N144">
        <f>IF(tblPlacement[Internship]="Yes",1,0)</f>
        <v>0</v>
      </c>
    </row>
    <row r="145" spans="1:14" x14ac:dyDescent="0.3">
      <c r="A145" t="s">
        <v>231</v>
      </c>
      <c r="B145" t="s">
        <v>20</v>
      </c>
      <c r="C145">
        <v>9.6999999999999993</v>
      </c>
      <c r="D145" t="s">
        <v>22</v>
      </c>
      <c r="E145" t="s">
        <v>86</v>
      </c>
      <c r="F145" t="s">
        <v>13</v>
      </c>
      <c r="G145">
        <v>17</v>
      </c>
      <c r="H145" t="s">
        <v>19</v>
      </c>
      <c r="I145" t="s">
        <v>20</v>
      </c>
      <c r="J145" t="s">
        <v>231</v>
      </c>
      <c r="K145">
        <f>IF(tblPlacement[Placement_Status]="Placed",1,0)</f>
        <v>1</v>
      </c>
      <c r="L145" t="str">
        <f>IF(tblPlacement[CGPA]&gt;=9,"9+", IF(tblPlacement[CGPA]&gt;=8,"8-9",IF(tblPlacement[CGPA]&gt;=7,"7-8","Below 7")))</f>
        <v>9+</v>
      </c>
      <c r="M145" t="str">
        <f>IF(tblPlacement[Package_LPA]&gt;=15,"High",IF(tblPlacement[Package_LPA]&gt;=8,"Medium","Low"))</f>
        <v>High</v>
      </c>
      <c r="N145">
        <f>IF(tblPlacement[Internship]="Yes",1,0)</f>
        <v>0</v>
      </c>
    </row>
    <row r="146" spans="1:14" x14ac:dyDescent="0.3">
      <c r="A146" t="s">
        <v>232</v>
      </c>
      <c r="B146" t="s">
        <v>17</v>
      </c>
      <c r="C146">
        <v>8.8000000000000007</v>
      </c>
      <c r="D146" t="s">
        <v>22</v>
      </c>
      <c r="E146" t="s">
        <v>18</v>
      </c>
      <c r="F146" t="s">
        <v>13</v>
      </c>
      <c r="G146">
        <v>12.7</v>
      </c>
      <c r="H146" t="s">
        <v>67</v>
      </c>
      <c r="I146" t="s">
        <v>20</v>
      </c>
      <c r="J146" t="s">
        <v>232</v>
      </c>
      <c r="K146">
        <f>IF(tblPlacement[Placement_Status]="Placed",1,0)</f>
        <v>1</v>
      </c>
      <c r="L146" t="str">
        <f>IF(tblPlacement[CGPA]&gt;=9,"9+", IF(tblPlacement[CGPA]&gt;=8,"8-9",IF(tblPlacement[CGPA]&gt;=7,"7-8","Below 7")))</f>
        <v>8-9</v>
      </c>
      <c r="M146" t="str">
        <f>IF(tblPlacement[Package_LPA]&gt;=15,"High",IF(tblPlacement[Package_LPA]&gt;=8,"Medium","Low"))</f>
        <v>Medium</v>
      </c>
      <c r="N146">
        <f>IF(tblPlacement[Internship]="Yes",1,0)</f>
        <v>0</v>
      </c>
    </row>
    <row r="147" spans="1:14" x14ac:dyDescent="0.3">
      <c r="A147" t="s">
        <v>233</v>
      </c>
      <c r="B147" t="s">
        <v>43</v>
      </c>
      <c r="C147">
        <v>5.7</v>
      </c>
      <c r="D147" t="s">
        <v>22</v>
      </c>
      <c r="E147" t="s">
        <v>234</v>
      </c>
      <c r="F147" t="s">
        <v>13</v>
      </c>
      <c r="G147">
        <v>5.6</v>
      </c>
      <c r="H147" t="s">
        <v>128</v>
      </c>
      <c r="I147" t="s">
        <v>43</v>
      </c>
      <c r="J147" t="s">
        <v>233</v>
      </c>
      <c r="K147">
        <f>IF(tblPlacement[Placement_Status]="Placed",1,0)</f>
        <v>1</v>
      </c>
      <c r="L147" t="str">
        <f>IF(tblPlacement[CGPA]&gt;=9,"9+", IF(tblPlacement[CGPA]&gt;=8,"8-9",IF(tblPlacement[CGPA]&gt;=7,"7-8","Below 7")))</f>
        <v>Below 7</v>
      </c>
      <c r="M147" t="str">
        <f>IF(tblPlacement[Package_LPA]&gt;=15,"High",IF(tblPlacement[Package_LPA]&gt;=8,"Medium","Low"))</f>
        <v>Low</v>
      </c>
      <c r="N147">
        <f>IF(tblPlacement[Internship]="Yes",1,0)</f>
        <v>0</v>
      </c>
    </row>
    <row r="148" spans="1:14" x14ac:dyDescent="0.3">
      <c r="A148" t="s">
        <v>235</v>
      </c>
      <c r="B148" t="s">
        <v>17</v>
      </c>
      <c r="C148">
        <v>8.6</v>
      </c>
      <c r="D148" t="s">
        <v>11</v>
      </c>
      <c r="E148" t="s">
        <v>46</v>
      </c>
      <c r="F148" t="s">
        <v>13</v>
      </c>
      <c r="G148">
        <v>13.4</v>
      </c>
      <c r="H148" t="s">
        <v>53</v>
      </c>
      <c r="I148" t="s">
        <v>20</v>
      </c>
      <c r="J148" t="s">
        <v>235</v>
      </c>
      <c r="K148">
        <f>IF(tblPlacement[Placement_Status]="Placed",1,0)</f>
        <v>1</v>
      </c>
      <c r="L148" t="str">
        <f>IF(tblPlacement[CGPA]&gt;=9,"9+", IF(tblPlacement[CGPA]&gt;=8,"8-9",IF(tblPlacement[CGPA]&gt;=7,"7-8","Below 7")))</f>
        <v>8-9</v>
      </c>
      <c r="M148" t="str">
        <f>IF(tblPlacement[Package_LPA]&gt;=15,"High",IF(tblPlacement[Package_LPA]&gt;=8,"Medium","Low"))</f>
        <v>Medium</v>
      </c>
      <c r="N148">
        <f>IF(tblPlacement[Internship]="Yes",1,0)</f>
        <v>1</v>
      </c>
    </row>
    <row r="149" spans="1:14" x14ac:dyDescent="0.3">
      <c r="A149" t="s">
        <v>236</v>
      </c>
      <c r="B149" t="s">
        <v>20</v>
      </c>
      <c r="C149">
        <v>6.2</v>
      </c>
      <c r="D149" t="s">
        <v>22</v>
      </c>
      <c r="E149" t="s">
        <v>80</v>
      </c>
      <c r="F149" t="s">
        <v>13</v>
      </c>
      <c r="G149">
        <v>18.899999999999999</v>
      </c>
      <c r="H149" t="s">
        <v>51</v>
      </c>
      <c r="I149" t="s">
        <v>20</v>
      </c>
      <c r="J149" t="s">
        <v>236</v>
      </c>
      <c r="K149">
        <f>IF(tblPlacement[Placement_Status]="Placed",1,0)</f>
        <v>1</v>
      </c>
      <c r="L149" t="str">
        <f>IF(tblPlacement[CGPA]&gt;=9,"9+", IF(tblPlacement[CGPA]&gt;=8,"8-9",IF(tblPlacement[CGPA]&gt;=7,"7-8","Below 7")))</f>
        <v>Below 7</v>
      </c>
      <c r="M149" t="str">
        <f>IF(tblPlacement[Package_LPA]&gt;=15,"High",IF(tblPlacement[Package_LPA]&gt;=8,"Medium","Low"))</f>
        <v>High</v>
      </c>
      <c r="N149">
        <f>IF(tblPlacement[Internship]="Yes",1,0)</f>
        <v>0</v>
      </c>
    </row>
    <row r="150" spans="1:14" x14ac:dyDescent="0.3">
      <c r="A150" t="s">
        <v>237</v>
      </c>
      <c r="B150" t="s">
        <v>43</v>
      </c>
      <c r="C150">
        <v>7.2</v>
      </c>
      <c r="D150" t="s">
        <v>11</v>
      </c>
      <c r="E150" t="s">
        <v>165</v>
      </c>
      <c r="F150" t="s">
        <v>13</v>
      </c>
      <c r="G150">
        <v>4.5</v>
      </c>
      <c r="H150" t="s">
        <v>95</v>
      </c>
      <c r="I150" t="s">
        <v>43</v>
      </c>
      <c r="J150" t="s">
        <v>237</v>
      </c>
      <c r="K150">
        <f>IF(tblPlacement[Placement_Status]="Placed",1,0)</f>
        <v>1</v>
      </c>
      <c r="L150" t="str">
        <f>IF(tblPlacement[CGPA]&gt;=9,"9+", IF(tblPlacement[CGPA]&gt;=8,"8-9",IF(tblPlacement[CGPA]&gt;=7,"7-8","Below 7")))</f>
        <v>7-8</v>
      </c>
      <c r="M150" t="str">
        <f>IF(tblPlacement[Package_LPA]&gt;=15,"High",IF(tblPlacement[Package_LPA]&gt;=8,"Medium","Low"))</f>
        <v>Low</v>
      </c>
      <c r="N150">
        <f>IF(tblPlacement[Internship]="Yes",1,0)</f>
        <v>1</v>
      </c>
    </row>
    <row r="151" spans="1:14" x14ac:dyDescent="0.3">
      <c r="A151" t="s">
        <v>238</v>
      </c>
      <c r="B151" t="s">
        <v>17</v>
      </c>
      <c r="C151">
        <v>8.1</v>
      </c>
      <c r="D151" t="s">
        <v>11</v>
      </c>
      <c r="E151" t="s">
        <v>39</v>
      </c>
      <c r="F151" t="s">
        <v>13</v>
      </c>
      <c r="G151">
        <v>12.4</v>
      </c>
      <c r="H151" t="s">
        <v>81</v>
      </c>
      <c r="I151" t="s">
        <v>20</v>
      </c>
      <c r="J151" t="s">
        <v>238</v>
      </c>
      <c r="K151">
        <f>IF(tblPlacement[Placement_Status]="Placed",1,0)</f>
        <v>1</v>
      </c>
      <c r="L151" t="str">
        <f>IF(tblPlacement[CGPA]&gt;=9,"9+", IF(tblPlacement[CGPA]&gt;=8,"8-9",IF(tblPlacement[CGPA]&gt;=7,"7-8","Below 7")))</f>
        <v>8-9</v>
      </c>
      <c r="M151" t="str">
        <f>IF(tblPlacement[Package_LPA]&gt;=15,"High",IF(tblPlacement[Package_LPA]&gt;=8,"Medium","Low"))</f>
        <v>Medium</v>
      </c>
      <c r="N151">
        <f>IF(tblPlacement[Internship]="Yes",1,0)</f>
        <v>1</v>
      </c>
    </row>
    <row r="152" spans="1:14" x14ac:dyDescent="0.3">
      <c r="A152" t="s">
        <v>239</v>
      </c>
      <c r="B152" t="s">
        <v>20</v>
      </c>
      <c r="C152">
        <v>8.8000000000000007</v>
      </c>
      <c r="D152" t="s">
        <v>11</v>
      </c>
      <c r="E152" t="s">
        <v>86</v>
      </c>
      <c r="F152" t="s">
        <v>13</v>
      </c>
      <c r="G152">
        <v>11.9</v>
      </c>
      <c r="H152" t="s">
        <v>47</v>
      </c>
      <c r="I152" t="s">
        <v>20</v>
      </c>
      <c r="J152" t="s">
        <v>239</v>
      </c>
      <c r="K152">
        <f>IF(tblPlacement[Placement_Status]="Placed",1,0)</f>
        <v>1</v>
      </c>
      <c r="L152" t="str">
        <f>IF(tblPlacement[CGPA]&gt;=9,"9+", IF(tblPlacement[CGPA]&gt;=8,"8-9",IF(tblPlacement[CGPA]&gt;=7,"7-8","Below 7")))</f>
        <v>8-9</v>
      </c>
      <c r="M152" t="str">
        <f>IF(tblPlacement[Package_LPA]&gt;=15,"High",IF(tblPlacement[Package_LPA]&gt;=8,"Medium","Low"))</f>
        <v>Medium</v>
      </c>
      <c r="N152">
        <f>IF(tblPlacement[Internship]="Yes",1,0)</f>
        <v>1</v>
      </c>
    </row>
    <row r="153" spans="1:14" x14ac:dyDescent="0.3">
      <c r="A153" t="s">
        <v>240</v>
      </c>
      <c r="B153" t="s">
        <v>20</v>
      </c>
      <c r="C153">
        <v>5.6</v>
      </c>
      <c r="D153" t="s">
        <v>11</v>
      </c>
      <c r="E153" t="s">
        <v>80</v>
      </c>
      <c r="F153" t="s">
        <v>13</v>
      </c>
      <c r="G153">
        <v>5.2</v>
      </c>
      <c r="H153" t="s">
        <v>81</v>
      </c>
      <c r="I153" t="s">
        <v>20</v>
      </c>
      <c r="J153" t="s">
        <v>240</v>
      </c>
      <c r="K153">
        <f>IF(tblPlacement[Placement_Status]="Placed",1,0)</f>
        <v>1</v>
      </c>
      <c r="L153" t="str">
        <f>IF(tblPlacement[CGPA]&gt;=9,"9+", IF(tblPlacement[CGPA]&gt;=8,"8-9",IF(tblPlacement[CGPA]&gt;=7,"7-8","Below 7")))</f>
        <v>Below 7</v>
      </c>
      <c r="M153" t="str">
        <f>IF(tblPlacement[Package_LPA]&gt;=15,"High",IF(tblPlacement[Package_LPA]&gt;=8,"Medium","Low"))</f>
        <v>Low</v>
      </c>
      <c r="N153">
        <f>IF(tblPlacement[Internship]="Yes",1,0)</f>
        <v>1</v>
      </c>
    </row>
    <row r="154" spans="1:14" x14ac:dyDescent="0.3">
      <c r="A154" t="s">
        <v>241</v>
      </c>
      <c r="B154" t="s">
        <v>43</v>
      </c>
      <c r="C154">
        <v>5.6</v>
      </c>
      <c r="D154" t="s">
        <v>11</v>
      </c>
      <c r="E154" t="s">
        <v>39</v>
      </c>
      <c r="F154" t="s">
        <v>32</v>
      </c>
      <c r="G154">
        <v>0</v>
      </c>
      <c r="H154" t="s">
        <v>33</v>
      </c>
      <c r="I154" t="s">
        <v>33</v>
      </c>
      <c r="J154" t="s">
        <v>241</v>
      </c>
      <c r="K154">
        <f>IF(tblPlacement[Placement_Status]="Placed",1,0)</f>
        <v>0</v>
      </c>
      <c r="L154" t="str">
        <f>IF(tblPlacement[CGPA]&gt;=9,"9+", IF(tblPlacement[CGPA]&gt;=8,"8-9",IF(tblPlacement[CGPA]&gt;=7,"7-8","Below 7")))</f>
        <v>Below 7</v>
      </c>
      <c r="M154" t="str">
        <f>IF(tblPlacement[Package_LPA]&gt;=15,"High",IF(tblPlacement[Package_LPA]&gt;=8,"Medium","Low"))</f>
        <v>Low</v>
      </c>
      <c r="N154">
        <f>IF(tblPlacement[Internship]="Yes",1,0)</f>
        <v>1</v>
      </c>
    </row>
    <row r="155" spans="1:14" x14ac:dyDescent="0.3">
      <c r="A155" t="s">
        <v>242</v>
      </c>
      <c r="B155" t="s">
        <v>30</v>
      </c>
      <c r="C155">
        <v>7.9</v>
      </c>
      <c r="D155" t="s">
        <v>11</v>
      </c>
      <c r="E155" t="s">
        <v>23</v>
      </c>
      <c r="F155" t="s">
        <v>13</v>
      </c>
      <c r="G155">
        <v>16.5</v>
      </c>
      <c r="H155" t="s">
        <v>142</v>
      </c>
      <c r="I155" t="s">
        <v>37</v>
      </c>
      <c r="J155" t="s">
        <v>242</v>
      </c>
      <c r="K155">
        <f>IF(tblPlacement[Placement_Status]="Placed",1,0)</f>
        <v>1</v>
      </c>
      <c r="L155" t="str">
        <f>IF(tblPlacement[CGPA]&gt;=9,"9+", IF(tblPlacement[CGPA]&gt;=8,"8-9",IF(tblPlacement[CGPA]&gt;=7,"7-8","Below 7")))</f>
        <v>7-8</v>
      </c>
      <c r="M155" t="str">
        <f>IF(tblPlacement[Package_LPA]&gt;=15,"High",IF(tblPlacement[Package_LPA]&gt;=8,"Medium","Low"))</f>
        <v>High</v>
      </c>
      <c r="N155">
        <f>IF(tblPlacement[Internship]="Yes",1,0)</f>
        <v>1</v>
      </c>
    </row>
    <row r="156" spans="1:14" x14ac:dyDescent="0.3">
      <c r="A156" t="s">
        <v>243</v>
      </c>
      <c r="B156" t="s">
        <v>10</v>
      </c>
      <c r="C156">
        <v>9.6999999999999993</v>
      </c>
      <c r="D156" t="s">
        <v>22</v>
      </c>
      <c r="E156" t="s">
        <v>18</v>
      </c>
      <c r="F156" t="s">
        <v>13</v>
      </c>
      <c r="G156">
        <v>7.3</v>
      </c>
      <c r="H156" t="s">
        <v>159</v>
      </c>
      <c r="I156" t="s">
        <v>15</v>
      </c>
      <c r="J156" t="s">
        <v>243</v>
      </c>
      <c r="K156">
        <f>IF(tblPlacement[Placement_Status]="Placed",1,0)</f>
        <v>1</v>
      </c>
      <c r="L156" t="str">
        <f>IF(tblPlacement[CGPA]&gt;=9,"9+", IF(tblPlacement[CGPA]&gt;=8,"8-9",IF(tblPlacement[CGPA]&gt;=7,"7-8","Below 7")))</f>
        <v>9+</v>
      </c>
      <c r="M156" t="str">
        <f>IF(tblPlacement[Package_LPA]&gt;=15,"High",IF(tblPlacement[Package_LPA]&gt;=8,"Medium","Low"))</f>
        <v>Low</v>
      </c>
      <c r="N156">
        <f>IF(tblPlacement[Internship]="Yes",1,0)</f>
        <v>0</v>
      </c>
    </row>
    <row r="157" spans="1:14" x14ac:dyDescent="0.3">
      <c r="A157" t="s">
        <v>244</v>
      </c>
      <c r="B157" t="s">
        <v>17</v>
      </c>
      <c r="C157">
        <v>9.1</v>
      </c>
      <c r="D157" t="s">
        <v>11</v>
      </c>
      <c r="E157" t="s">
        <v>80</v>
      </c>
      <c r="F157" t="s">
        <v>13</v>
      </c>
      <c r="G157">
        <v>22.7</v>
      </c>
      <c r="H157" t="s">
        <v>53</v>
      </c>
      <c r="I157" t="s">
        <v>20</v>
      </c>
      <c r="J157" t="s">
        <v>244</v>
      </c>
      <c r="K157">
        <f>IF(tblPlacement[Placement_Status]="Placed",1,0)</f>
        <v>1</v>
      </c>
      <c r="L157" t="str">
        <f>IF(tblPlacement[CGPA]&gt;=9,"9+", IF(tblPlacement[CGPA]&gt;=8,"8-9",IF(tblPlacement[CGPA]&gt;=7,"7-8","Below 7")))</f>
        <v>9+</v>
      </c>
      <c r="M157" t="str">
        <f>IF(tblPlacement[Package_LPA]&gt;=15,"High",IF(tblPlacement[Package_LPA]&gt;=8,"Medium","Low"))</f>
        <v>High</v>
      </c>
      <c r="N157">
        <f>IF(tblPlacement[Internship]="Yes",1,0)</f>
        <v>1</v>
      </c>
    </row>
    <row r="158" spans="1:14" x14ac:dyDescent="0.3">
      <c r="A158" t="s">
        <v>245</v>
      </c>
      <c r="B158" t="s">
        <v>30</v>
      </c>
      <c r="C158">
        <v>8.1999999999999993</v>
      </c>
      <c r="D158" t="s">
        <v>11</v>
      </c>
      <c r="E158" t="s">
        <v>31</v>
      </c>
      <c r="F158" t="s">
        <v>13</v>
      </c>
      <c r="G158">
        <v>16.3</v>
      </c>
      <c r="H158" t="s">
        <v>56</v>
      </c>
      <c r="I158" t="s">
        <v>37</v>
      </c>
      <c r="J158" t="s">
        <v>245</v>
      </c>
      <c r="K158">
        <f>IF(tblPlacement[Placement_Status]="Placed",1,0)</f>
        <v>1</v>
      </c>
      <c r="L158" t="str">
        <f>IF(tblPlacement[CGPA]&gt;=9,"9+", IF(tblPlacement[CGPA]&gt;=8,"8-9",IF(tblPlacement[CGPA]&gt;=7,"7-8","Below 7")))</f>
        <v>8-9</v>
      </c>
      <c r="M158" t="str">
        <f>IF(tblPlacement[Package_LPA]&gt;=15,"High",IF(tblPlacement[Package_LPA]&gt;=8,"Medium","Low"))</f>
        <v>High</v>
      </c>
      <c r="N158">
        <f>IF(tblPlacement[Internship]="Yes",1,0)</f>
        <v>1</v>
      </c>
    </row>
    <row r="159" spans="1:14" x14ac:dyDescent="0.3">
      <c r="A159" t="s">
        <v>246</v>
      </c>
      <c r="B159" t="s">
        <v>20</v>
      </c>
      <c r="C159">
        <v>6</v>
      </c>
      <c r="D159" t="s">
        <v>11</v>
      </c>
      <c r="E159" t="s">
        <v>200</v>
      </c>
      <c r="F159" t="s">
        <v>13</v>
      </c>
      <c r="G159">
        <v>15</v>
      </c>
      <c r="H159" t="s">
        <v>72</v>
      </c>
      <c r="I159" t="s">
        <v>20</v>
      </c>
      <c r="J159" t="s">
        <v>246</v>
      </c>
      <c r="K159">
        <f>IF(tblPlacement[Placement_Status]="Placed",1,0)</f>
        <v>1</v>
      </c>
      <c r="L159" t="str">
        <f>IF(tblPlacement[CGPA]&gt;=9,"9+", IF(tblPlacement[CGPA]&gt;=8,"8-9",IF(tblPlacement[CGPA]&gt;=7,"7-8","Below 7")))</f>
        <v>Below 7</v>
      </c>
      <c r="M159" t="str">
        <f>IF(tblPlacement[Package_LPA]&gt;=15,"High",IF(tblPlacement[Package_LPA]&gt;=8,"Medium","Low"))</f>
        <v>High</v>
      </c>
      <c r="N159">
        <f>IF(tblPlacement[Internship]="Yes",1,0)</f>
        <v>1</v>
      </c>
    </row>
    <row r="160" spans="1:14" x14ac:dyDescent="0.3">
      <c r="A160" t="s">
        <v>247</v>
      </c>
      <c r="B160" t="s">
        <v>17</v>
      </c>
      <c r="C160">
        <v>7.1</v>
      </c>
      <c r="D160" t="s">
        <v>11</v>
      </c>
      <c r="E160" t="s">
        <v>39</v>
      </c>
      <c r="F160" t="s">
        <v>13</v>
      </c>
      <c r="G160">
        <v>17.899999999999999</v>
      </c>
      <c r="H160" t="s">
        <v>72</v>
      </c>
      <c r="I160" t="s">
        <v>20</v>
      </c>
      <c r="J160" t="s">
        <v>247</v>
      </c>
      <c r="K160">
        <f>IF(tblPlacement[Placement_Status]="Placed",1,0)</f>
        <v>1</v>
      </c>
      <c r="L160" t="str">
        <f>IF(tblPlacement[CGPA]&gt;=9,"9+", IF(tblPlacement[CGPA]&gt;=8,"8-9",IF(tblPlacement[CGPA]&gt;=7,"7-8","Below 7")))</f>
        <v>7-8</v>
      </c>
      <c r="M160" t="str">
        <f>IF(tblPlacement[Package_LPA]&gt;=15,"High",IF(tblPlacement[Package_LPA]&gt;=8,"Medium","Low"))</f>
        <v>High</v>
      </c>
      <c r="N160">
        <f>IF(tblPlacement[Internship]="Yes",1,0)</f>
        <v>1</v>
      </c>
    </row>
    <row r="161" spans="1:14" x14ac:dyDescent="0.3">
      <c r="A161" t="s">
        <v>248</v>
      </c>
      <c r="B161" t="s">
        <v>17</v>
      </c>
      <c r="C161">
        <v>8.6999999999999993</v>
      </c>
      <c r="D161" t="s">
        <v>11</v>
      </c>
      <c r="E161" t="s">
        <v>46</v>
      </c>
      <c r="F161" t="s">
        <v>13</v>
      </c>
      <c r="G161">
        <v>13.6</v>
      </c>
      <c r="H161" t="s">
        <v>81</v>
      </c>
      <c r="I161" t="s">
        <v>20</v>
      </c>
      <c r="J161" t="s">
        <v>248</v>
      </c>
      <c r="K161">
        <f>IF(tblPlacement[Placement_Status]="Placed",1,0)</f>
        <v>1</v>
      </c>
      <c r="L161" t="str">
        <f>IF(tblPlacement[CGPA]&gt;=9,"9+", IF(tblPlacement[CGPA]&gt;=8,"8-9",IF(tblPlacement[CGPA]&gt;=7,"7-8","Below 7")))</f>
        <v>8-9</v>
      </c>
      <c r="M161" t="str">
        <f>IF(tblPlacement[Package_LPA]&gt;=15,"High",IF(tblPlacement[Package_LPA]&gt;=8,"Medium","Low"))</f>
        <v>Medium</v>
      </c>
      <c r="N161">
        <f>IF(tblPlacement[Internship]="Yes",1,0)</f>
        <v>1</v>
      </c>
    </row>
    <row r="162" spans="1:14" x14ac:dyDescent="0.3">
      <c r="A162" t="s">
        <v>249</v>
      </c>
      <c r="B162" t="s">
        <v>20</v>
      </c>
      <c r="C162">
        <v>6.2</v>
      </c>
      <c r="D162" t="s">
        <v>11</v>
      </c>
      <c r="E162" t="s">
        <v>46</v>
      </c>
      <c r="F162" t="s">
        <v>13</v>
      </c>
      <c r="G162">
        <v>11.7</v>
      </c>
      <c r="H162" t="s">
        <v>81</v>
      </c>
      <c r="I162" t="s">
        <v>20</v>
      </c>
      <c r="J162" t="s">
        <v>249</v>
      </c>
      <c r="K162">
        <f>IF(tblPlacement[Placement_Status]="Placed",1,0)</f>
        <v>1</v>
      </c>
      <c r="L162" t="str">
        <f>IF(tblPlacement[CGPA]&gt;=9,"9+", IF(tblPlacement[CGPA]&gt;=8,"8-9",IF(tblPlacement[CGPA]&gt;=7,"7-8","Below 7")))</f>
        <v>Below 7</v>
      </c>
      <c r="M162" t="str">
        <f>IF(tblPlacement[Package_LPA]&gt;=15,"High",IF(tblPlacement[Package_LPA]&gt;=8,"Medium","Low"))</f>
        <v>Medium</v>
      </c>
      <c r="N162">
        <f>IF(tblPlacement[Internship]="Yes",1,0)</f>
        <v>1</v>
      </c>
    </row>
    <row r="163" spans="1:14" x14ac:dyDescent="0.3">
      <c r="A163" t="s">
        <v>250</v>
      </c>
      <c r="B163" t="s">
        <v>20</v>
      </c>
      <c r="C163">
        <v>6.2</v>
      </c>
      <c r="D163" t="s">
        <v>22</v>
      </c>
      <c r="E163" t="s">
        <v>18</v>
      </c>
      <c r="F163" t="s">
        <v>13</v>
      </c>
      <c r="G163">
        <v>15.4</v>
      </c>
      <c r="H163" t="s">
        <v>19</v>
      </c>
      <c r="I163" t="s">
        <v>20</v>
      </c>
      <c r="J163" t="s">
        <v>250</v>
      </c>
      <c r="K163">
        <f>IF(tblPlacement[Placement_Status]="Placed",1,0)</f>
        <v>1</v>
      </c>
      <c r="L163" t="str">
        <f>IF(tblPlacement[CGPA]&gt;=9,"9+", IF(tblPlacement[CGPA]&gt;=8,"8-9",IF(tblPlacement[CGPA]&gt;=7,"7-8","Below 7")))</f>
        <v>Below 7</v>
      </c>
      <c r="M163" t="str">
        <f>IF(tblPlacement[Package_LPA]&gt;=15,"High",IF(tblPlacement[Package_LPA]&gt;=8,"Medium","Low"))</f>
        <v>High</v>
      </c>
      <c r="N163">
        <f>IF(tblPlacement[Internship]="Yes",1,0)</f>
        <v>0</v>
      </c>
    </row>
    <row r="164" spans="1:14" x14ac:dyDescent="0.3">
      <c r="A164" t="s">
        <v>251</v>
      </c>
      <c r="B164" t="s">
        <v>43</v>
      </c>
      <c r="C164">
        <v>6.5</v>
      </c>
      <c r="D164" t="s">
        <v>11</v>
      </c>
      <c r="E164" t="s">
        <v>165</v>
      </c>
      <c r="F164" t="s">
        <v>32</v>
      </c>
      <c r="G164">
        <v>0</v>
      </c>
      <c r="H164" t="s">
        <v>33</v>
      </c>
      <c r="I164" t="s">
        <v>33</v>
      </c>
      <c r="J164" t="s">
        <v>251</v>
      </c>
      <c r="K164">
        <f>IF(tblPlacement[Placement_Status]="Placed",1,0)</f>
        <v>0</v>
      </c>
      <c r="L164" t="str">
        <f>IF(tblPlacement[CGPA]&gt;=9,"9+", IF(tblPlacement[CGPA]&gt;=8,"8-9",IF(tblPlacement[CGPA]&gt;=7,"7-8","Below 7")))</f>
        <v>Below 7</v>
      </c>
      <c r="M164" t="str">
        <f>IF(tblPlacement[Package_LPA]&gt;=15,"High",IF(tblPlacement[Package_LPA]&gt;=8,"Medium","Low"))</f>
        <v>Low</v>
      </c>
      <c r="N164">
        <f>IF(tblPlacement[Internship]="Yes",1,0)</f>
        <v>1</v>
      </c>
    </row>
    <row r="165" spans="1:14" x14ac:dyDescent="0.3">
      <c r="A165" t="s">
        <v>252</v>
      </c>
      <c r="B165" t="s">
        <v>17</v>
      </c>
      <c r="C165">
        <v>6.9</v>
      </c>
      <c r="D165" t="s">
        <v>22</v>
      </c>
      <c r="E165" t="s">
        <v>39</v>
      </c>
      <c r="F165" t="s">
        <v>13</v>
      </c>
      <c r="G165">
        <v>4.0999999999999996</v>
      </c>
      <c r="H165" t="s">
        <v>47</v>
      </c>
      <c r="I165" t="s">
        <v>20</v>
      </c>
      <c r="J165" t="s">
        <v>252</v>
      </c>
      <c r="K165">
        <f>IF(tblPlacement[Placement_Status]="Placed",1,0)</f>
        <v>1</v>
      </c>
      <c r="L165" t="str">
        <f>IF(tblPlacement[CGPA]&gt;=9,"9+", IF(tblPlacement[CGPA]&gt;=8,"8-9",IF(tblPlacement[CGPA]&gt;=7,"7-8","Below 7")))</f>
        <v>Below 7</v>
      </c>
      <c r="M165" t="str">
        <f>IF(tblPlacement[Package_LPA]&gt;=15,"High",IF(tblPlacement[Package_LPA]&gt;=8,"Medium","Low"))</f>
        <v>Low</v>
      </c>
      <c r="N165">
        <f>IF(tblPlacement[Internship]="Yes",1,0)</f>
        <v>0</v>
      </c>
    </row>
    <row r="166" spans="1:14" x14ac:dyDescent="0.3">
      <c r="A166" t="s">
        <v>253</v>
      </c>
      <c r="B166" t="s">
        <v>26</v>
      </c>
      <c r="C166">
        <v>9.1999999999999993</v>
      </c>
      <c r="D166" t="s">
        <v>11</v>
      </c>
      <c r="E166" t="s">
        <v>138</v>
      </c>
      <c r="F166" t="s">
        <v>13</v>
      </c>
      <c r="G166">
        <v>5.7</v>
      </c>
      <c r="H166" t="s">
        <v>163</v>
      </c>
      <c r="I166" t="s">
        <v>26</v>
      </c>
      <c r="J166" t="s">
        <v>253</v>
      </c>
      <c r="K166">
        <f>IF(tblPlacement[Placement_Status]="Placed",1,0)</f>
        <v>1</v>
      </c>
      <c r="L166" t="str">
        <f>IF(tblPlacement[CGPA]&gt;=9,"9+", IF(tblPlacement[CGPA]&gt;=8,"8-9",IF(tblPlacement[CGPA]&gt;=7,"7-8","Below 7")))</f>
        <v>9+</v>
      </c>
      <c r="M166" t="str">
        <f>IF(tblPlacement[Package_LPA]&gt;=15,"High",IF(tblPlacement[Package_LPA]&gt;=8,"Medium","Low"))</f>
        <v>Low</v>
      </c>
      <c r="N166">
        <f>IF(tblPlacement[Internship]="Yes",1,0)</f>
        <v>1</v>
      </c>
    </row>
    <row r="167" spans="1:14" x14ac:dyDescent="0.3">
      <c r="A167" t="s">
        <v>254</v>
      </c>
      <c r="B167" t="s">
        <v>43</v>
      </c>
      <c r="C167">
        <v>8</v>
      </c>
      <c r="D167" t="s">
        <v>22</v>
      </c>
      <c r="E167" t="s">
        <v>39</v>
      </c>
      <c r="F167" t="s">
        <v>13</v>
      </c>
      <c r="G167">
        <v>10</v>
      </c>
      <c r="H167" t="s">
        <v>255</v>
      </c>
      <c r="I167" t="s">
        <v>43</v>
      </c>
      <c r="J167" t="s">
        <v>254</v>
      </c>
      <c r="K167">
        <f>IF(tblPlacement[Placement_Status]="Placed",1,0)</f>
        <v>1</v>
      </c>
      <c r="L167" t="str">
        <f>IF(tblPlacement[CGPA]&gt;=9,"9+", IF(tblPlacement[CGPA]&gt;=8,"8-9",IF(tblPlacement[CGPA]&gt;=7,"7-8","Below 7")))</f>
        <v>8-9</v>
      </c>
      <c r="M167" t="str">
        <f>IF(tblPlacement[Package_LPA]&gt;=15,"High",IF(tblPlacement[Package_LPA]&gt;=8,"Medium","Low"))</f>
        <v>Medium</v>
      </c>
      <c r="N167">
        <f>IF(tblPlacement[Internship]="Yes",1,0)</f>
        <v>0</v>
      </c>
    </row>
    <row r="168" spans="1:14" x14ac:dyDescent="0.3">
      <c r="A168" t="s">
        <v>256</v>
      </c>
      <c r="B168" t="s">
        <v>20</v>
      </c>
      <c r="C168">
        <v>6.6</v>
      </c>
      <c r="D168" t="s">
        <v>11</v>
      </c>
      <c r="E168" t="s">
        <v>46</v>
      </c>
      <c r="F168" t="s">
        <v>32</v>
      </c>
      <c r="G168">
        <v>0</v>
      </c>
      <c r="H168" t="s">
        <v>33</v>
      </c>
      <c r="I168" t="s">
        <v>33</v>
      </c>
      <c r="J168" t="s">
        <v>256</v>
      </c>
      <c r="K168">
        <f>IF(tblPlacement[Placement_Status]="Placed",1,0)</f>
        <v>0</v>
      </c>
      <c r="L168" t="str">
        <f>IF(tblPlacement[CGPA]&gt;=9,"9+", IF(tblPlacement[CGPA]&gt;=8,"8-9",IF(tblPlacement[CGPA]&gt;=7,"7-8","Below 7")))</f>
        <v>Below 7</v>
      </c>
      <c r="M168" t="str">
        <f>IF(tblPlacement[Package_LPA]&gt;=15,"High",IF(tblPlacement[Package_LPA]&gt;=8,"Medium","Low"))</f>
        <v>Low</v>
      </c>
      <c r="N168">
        <f>IF(tblPlacement[Internship]="Yes",1,0)</f>
        <v>1</v>
      </c>
    </row>
    <row r="169" spans="1:14" x14ac:dyDescent="0.3">
      <c r="A169" t="s">
        <v>257</v>
      </c>
      <c r="B169" t="s">
        <v>17</v>
      </c>
      <c r="C169">
        <v>8.1</v>
      </c>
      <c r="D169" t="s">
        <v>11</v>
      </c>
      <c r="E169" t="s">
        <v>136</v>
      </c>
      <c r="F169" t="s">
        <v>32</v>
      </c>
      <c r="G169">
        <v>0</v>
      </c>
      <c r="H169" t="s">
        <v>33</v>
      </c>
      <c r="I169" t="s">
        <v>33</v>
      </c>
      <c r="J169" t="s">
        <v>257</v>
      </c>
      <c r="K169">
        <f>IF(tblPlacement[Placement_Status]="Placed",1,0)</f>
        <v>0</v>
      </c>
      <c r="L169" t="str">
        <f>IF(tblPlacement[CGPA]&gt;=9,"9+", IF(tblPlacement[CGPA]&gt;=8,"8-9",IF(tblPlacement[CGPA]&gt;=7,"7-8","Below 7")))</f>
        <v>8-9</v>
      </c>
      <c r="M169" t="str">
        <f>IF(tblPlacement[Package_LPA]&gt;=15,"High",IF(tblPlacement[Package_LPA]&gt;=8,"Medium","Low"))</f>
        <v>Low</v>
      </c>
      <c r="N169">
        <f>IF(tblPlacement[Internship]="Yes",1,0)</f>
        <v>1</v>
      </c>
    </row>
    <row r="170" spans="1:14" x14ac:dyDescent="0.3">
      <c r="A170" t="s">
        <v>258</v>
      </c>
      <c r="B170" t="s">
        <v>20</v>
      </c>
      <c r="C170">
        <v>8.5</v>
      </c>
      <c r="D170" t="s">
        <v>22</v>
      </c>
      <c r="E170" t="s">
        <v>39</v>
      </c>
      <c r="F170" t="s">
        <v>13</v>
      </c>
      <c r="G170">
        <v>7.3</v>
      </c>
      <c r="H170" t="s">
        <v>24</v>
      </c>
      <c r="I170" t="s">
        <v>20</v>
      </c>
      <c r="J170" t="s">
        <v>258</v>
      </c>
      <c r="K170">
        <f>IF(tblPlacement[Placement_Status]="Placed",1,0)</f>
        <v>1</v>
      </c>
      <c r="L170" t="str">
        <f>IF(tblPlacement[CGPA]&gt;=9,"9+", IF(tblPlacement[CGPA]&gt;=8,"8-9",IF(tblPlacement[CGPA]&gt;=7,"7-8","Below 7")))</f>
        <v>8-9</v>
      </c>
      <c r="M170" t="str">
        <f>IF(tblPlacement[Package_LPA]&gt;=15,"High",IF(tblPlacement[Package_LPA]&gt;=8,"Medium","Low"))</f>
        <v>Low</v>
      </c>
      <c r="N170">
        <f>IF(tblPlacement[Internship]="Yes",1,0)</f>
        <v>0</v>
      </c>
    </row>
    <row r="171" spans="1:14" x14ac:dyDescent="0.3">
      <c r="A171" t="s">
        <v>259</v>
      </c>
      <c r="B171" t="s">
        <v>30</v>
      </c>
      <c r="C171">
        <v>8.6999999999999993</v>
      </c>
      <c r="D171" t="s">
        <v>22</v>
      </c>
      <c r="E171" t="s">
        <v>60</v>
      </c>
      <c r="F171" t="s">
        <v>32</v>
      </c>
      <c r="G171">
        <v>0</v>
      </c>
      <c r="H171" t="s">
        <v>33</v>
      </c>
      <c r="I171" t="s">
        <v>33</v>
      </c>
      <c r="J171" t="s">
        <v>259</v>
      </c>
      <c r="K171">
        <f>IF(tblPlacement[Placement_Status]="Placed",1,0)</f>
        <v>0</v>
      </c>
      <c r="L171" t="str">
        <f>IF(tblPlacement[CGPA]&gt;=9,"9+", IF(tblPlacement[CGPA]&gt;=8,"8-9",IF(tblPlacement[CGPA]&gt;=7,"7-8","Below 7")))</f>
        <v>8-9</v>
      </c>
      <c r="M171" t="str">
        <f>IF(tblPlacement[Package_LPA]&gt;=15,"High",IF(tblPlacement[Package_LPA]&gt;=8,"Medium","Low"))</f>
        <v>Low</v>
      </c>
      <c r="N171">
        <f>IF(tblPlacement[Internship]="Yes",1,0)</f>
        <v>0</v>
      </c>
    </row>
    <row r="172" spans="1:14" x14ac:dyDescent="0.3">
      <c r="A172" t="s">
        <v>260</v>
      </c>
      <c r="B172" t="s">
        <v>10</v>
      </c>
      <c r="C172">
        <v>7.3</v>
      </c>
      <c r="D172" t="s">
        <v>11</v>
      </c>
      <c r="E172" t="s">
        <v>110</v>
      </c>
      <c r="F172" t="s">
        <v>32</v>
      </c>
      <c r="G172">
        <v>0</v>
      </c>
      <c r="H172" t="s">
        <v>33</v>
      </c>
      <c r="I172" t="s">
        <v>33</v>
      </c>
      <c r="J172" t="s">
        <v>260</v>
      </c>
      <c r="K172">
        <f>IF(tblPlacement[Placement_Status]="Placed",1,0)</f>
        <v>0</v>
      </c>
      <c r="L172" t="str">
        <f>IF(tblPlacement[CGPA]&gt;=9,"9+", IF(tblPlacement[CGPA]&gt;=8,"8-9",IF(tblPlacement[CGPA]&gt;=7,"7-8","Below 7")))</f>
        <v>7-8</v>
      </c>
      <c r="M172" t="str">
        <f>IF(tblPlacement[Package_LPA]&gt;=15,"High",IF(tblPlacement[Package_LPA]&gt;=8,"Medium","Low"))</f>
        <v>Low</v>
      </c>
      <c r="N172">
        <f>IF(tblPlacement[Internship]="Yes",1,0)</f>
        <v>1</v>
      </c>
    </row>
    <row r="173" spans="1:14" x14ac:dyDescent="0.3">
      <c r="A173" t="s">
        <v>261</v>
      </c>
      <c r="B173" t="s">
        <v>26</v>
      </c>
      <c r="C173">
        <v>8.1999999999999993</v>
      </c>
      <c r="D173" t="s">
        <v>22</v>
      </c>
      <c r="E173" t="s">
        <v>39</v>
      </c>
      <c r="F173" t="s">
        <v>32</v>
      </c>
      <c r="G173">
        <v>0</v>
      </c>
      <c r="H173" t="s">
        <v>33</v>
      </c>
      <c r="I173" t="s">
        <v>33</v>
      </c>
      <c r="J173" t="s">
        <v>261</v>
      </c>
      <c r="K173">
        <f>IF(tblPlacement[Placement_Status]="Placed",1,0)</f>
        <v>0</v>
      </c>
      <c r="L173" t="str">
        <f>IF(tblPlacement[CGPA]&gt;=9,"9+", IF(tblPlacement[CGPA]&gt;=8,"8-9",IF(tblPlacement[CGPA]&gt;=7,"7-8","Below 7")))</f>
        <v>8-9</v>
      </c>
      <c r="M173" t="str">
        <f>IF(tblPlacement[Package_LPA]&gt;=15,"High",IF(tblPlacement[Package_LPA]&gt;=8,"Medium","Low"))</f>
        <v>Low</v>
      </c>
      <c r="N173">
        <f>IF(tblPlacement[Internship]="Yes",1,0)</f>
        <v>0</v>
      </c>
    </row>
    <row r="174" spans="1:14" x14ac:dyDescent="0.3">
      <c r="A174" t="s">
        <v>262</v>
      </c>
      <c r="B174" t="s">
        <v>10</v>
      </c>
      <c r="C174">
        <v>5.9</v>
      </c>
      <c r="D174" t="s">
        <v>11</v>
      </c>
      <c r="E174" t="s">
        <v>110</v>
      </c>
      <c r="F174" t="s">
        <v>32</v>
      </c>
      <c r="G174">
        <v>0</v>
      </c>
      <c r="H174" t="s">
        <v>33</v>
      </c>
      <c r="I174" t="s">
        <v>33</v>
      </c>
      <c r="J174" t="s">
        <v>262</v>
      </c>
      <c r="K174">
        <f>IF(tblPlacement[Placement_Status]="Placed",1,0)</f>
        <v>0</v>
      </c>
      <c r="L174" t="str">
        <f>IF(tblPlacement[CGPA]&gt;=9,"9+", IF(tblPlacement[CGPA]&gt;=8,"8-9",IF(tblPlacement[CGPA]&gt;=7,"7-8","Below 7")))</f>
        <v>Below 7</v>
      </c>
      <c r="M174" t="str">
        <f>IF(tblPlacement[Package_LPA]&gt;=15,"High",IF(tblPlacement[Package_LPA]&gt;=8,"Medium","Low"))</f>
        <v>Low</v>
      </c>
      <c r="N174">
        <f>IF(tblPlacement[Internship]="Yes",1,0)</f>
        <v>1</v>
      </c>
    </row>
    <row r="175" spans="1:14" x14ac:dyDescent="0.3">
      <c r="A175" t="s">
        <v>263</v>
      </c>
      <c r="B175" t="s">
        <v>43</v>
      </c>
      <c r="C175">
        <v>7.9</v>
      </c>
      <c r="D175" t="s">
        <v>11</v>
      </c>
      <c r="E175" t="s">
        <v>94</v>
      </c>
      <c r="F175" t="s">
        <v>13</v>
      </c>
      <c r="G175">
        <v>14</v>
      </c>
      <c r="H175" t="s">
        <v>264</v>
      </c>
      <c r="I175" t="s">
        <v>43</v>
      </c>
      <c r="J175" t="s">
        <v>263</v>
      </c>
      <c r="K175">
        <f>IF(tblPlacement[Placement_Status]="Placed",1,0)</f>
        <v>1</v>
      </c>
      <c r="L175" t="str">
        <f>IF(tblPlacement[CGPA]&gt;=9,"9+", IF(tblPlacement[CGPA]&gt;=8,"8-9",IF(tblPlacement[CGPA]&gt;=7,"7-8","Below 7")))</f>
        <v>7-8</v>
      </c>
      <c r="M175" t="str">
        <f>IF(tblPlacement[Package_LPA]&gt;=15,"High",IF(tblPlacement[Package_LPA]&gt;=8,"Medium","Low"))</f>
        <v>Medium</v>
      </c>
      <c r="N175">
        <f>IF(tblPlacement[Internship]="Yes",1,0)</f>
        <v>1</v>
      </c>
    </row>
    <row r="176" spans="1:14" x14ac:dyDescent="0.3">
      <c r="A176" t="s">
        <v>265</v>
      </c>
      <c r="B176" t="s">
        <v>17</v>
      </c>
      <c r="C176">
        <v>9.1999999999999993</v>
      </c>
      <c r="D176" t="s">
        <v>22</v>
      </c>
      <c r="E176" t="s">
        <v>86</v>
      </c>
      <c r="F176" t="s">
        <v>13</v>
      </c>
      <c r="G176">
        <v>18.5</v>
      </c>
      <c r="H176" t="s">
        <v>81</v>
      </c>
      <c r="I176" t="s">
        <v>20</v>
      </c>
      <c r="J176" t="s">
        <v>265</v>
      </c>
      <c r="K176">
        <f>IF(tblPlacement[Placement_Status]="Placed",1,0)</f>
        <v>1</v>
      </c>
      <c r="L176" t="str">
        <f>IF(tblPlacement[CGPA]&gt;=9,"9+", IF(tblPlacement[CGPA]&gt;=8,"8-9",IF(tblPlacement[CGPA]&gt;=7,"7-8","Below 7")))</f>
        <v>9+</v>
      </c>
      <c r="M176" t="str">
        <f>IF(tblPlacement[Package_LPA]&gt;=15,"High",IF(tblPlacement[Package_LPA]&gt;=8,"Medium","Low"))</f>
        <v>High</v>
      </c>
      <c r="N176">
        <f>IF(tblPlacement[Internship]="Yes",1,0)</f>
        <v>0</v>
      </c>
    </row>
    <row r="177" spans="1:14" x14ac:dyDescent="0.3">
      <c r="A177" t="s">
        <v>266</v>
      </c>
      <c r="B177" t="s">
        <v>30</v>
      </c>
      <c r="C177">
        <v>6.1</v>
      </c>
      <c r="D177" t="s">
        <v>22</v>
      </c>
      <c r="E177" t="s">
        <v>60</v>
      </c>
      <c r="F177" t="s">
        <v>32</v>
      </c>
      <c r="G177">
        <v>0</v>
      </c>
      <c r="H177" t="s">
        <v>33</v>
      </c>
      <c r="I177" t="s">
        <v>33</v>
      </c>
      <c r="J177" t="s">
        <v>266</v>
      </c>
      <c r="K177">
        <f>IF(tblPlacement[Placement_Status]="Placed",1,0)</f>
        <v>0</v>
      </c>
      <c r="L177" t="str">
        <f>IF(tblPlacement[CGPA]&gt;=9,"9+", IF(tblPlacement[CGPA]&gt;=8,"8-9",IF(tblPlacement[CGPA]&gt;=7,"7-8","Below 7")))</f>
        <v>Below 7</v>
      </c>
      <c r="M177" t="str">
        <f>IF(tblPlacement[Package_LPA]&gt;=15,"High",IF(tblPlacement[Package_LPA]&gt;=8,"Medium","Low"))</f>
        <v>Low</v>
      </c>
      <c r="N177">
        <f>IF(tblPlacement[Internship]="Yes",1,0)</f>
        <v>0</v>
      </c>
    </row>
    <row r="178" spans="1:14" x14ac:dyDescent="0.3">
      <c r="A178" t="s">
        <v>267</v>
      </c>
      <c r="B178" t="s">
        <v>20</v>
      </c>
      <c r="C178">
        <v>8.9</v>
      </c>
      <c r="D178" t="s">
        <v>22</v>
      </c>
      <c r="E178" t="s">
        <v>23</v>
      </c>
      <c r="F178" t="s">
        <v>13</v>
      </c>
      <c r="G178">
        <v>8.1</v>
      </c>
      <c r="H178" t="s">
        <v>51</v>
      </c>
      <c r="I178" t="s">
        <v>20</v>
      </c>
      <c r="J178" t="s">
        <v>267</v>
      </c>
      <c r="K178">
        <f>IF(tblPlacement[Placement_Status]="Placed",1,0)</f>
        <v>1</v>
      </c>
      <c r="L178" t="str">
        <f>IF(tblPlacement[CGPA]&gt;=9,"9+", IF(tblPlacement[CGPA]&gt;=8,"8-9",IF(tblPlacement[CGPA]&gt;=7,"7-8","Below 7")))</f>
        <v>8-9</v>
      </c>
      <c r="M178" t="str">
        <f>IF(tblPlacement[Package_LPA]&gt;=15,"High",IF(tblPlacement[Package_LPA]&gt;=8,"Medium","Low"))</f>
        <v>Medium</v>
      </c>
      <c r="N178">
        <f>IF(tblPlacement[Internship]="Yes",1,0)</f>
        <v>0</v>
      </c>
    </row>
    <row r="179" spans="1:14" x14ac:dyDescent="0.3">
      <c r="A179" t="s">
        <v>268</v>
      </c>
      <c r="B179" t="s">
        <v>20</v>
      </c>
      <c r="C179">
        <v>7.2</v>
      </c>
      <c r="D179" t="s">
        <v>11</v>
      </c>
      <c r="E179" t="s">
        <v>39</v>
      </c>
      <c r="F179" t="s">
        <v>13</v>
      </c>
      <c r="G179">
        <v>10.5</v>
      </c>
      <c r="H179" t="s">
        <v>47</v>
      </c>
      <c r="I179" t="s">
        <v>20</v>
      </c>
      <c r="J179" t="s">
        <v>268</v>
      </c>
      <c r="K179">
        <f>IF(tblPlacement[Placement_Status]="Placed",1,0)</f>
        <v>1</v>
      </c>
      <c r="L179" t="str">
        <f>IF(tblPlacement[CGPA]&gt;=9,"9+", IF(tblPlacement[CGPA]&gt;=8,"8-9",IF(tblPlacement[CGPA]&gt;=7,"7-8","Below 7")))</f>
        <v>7-8</v>
      </c>
      <c r="M179" t="str">
        <f>IF(tblPlacement[Package_LPA]&gt;=15,"High",IF(tblPlacement[Package_LPA]&gt;=8,"Medium","Low"))</f>
        <v>Medium</v>
      </c>
      <c r="N179">
        <f>IF(tblPlacement[Internship]="Yes",1,0)</f>
        <v>1</v>
      </c>
    </row>
    <row r="180" spans="1:14" x14ac:dyDescent="0.3">
      <c r="A180" t="s">
        <v>269</v>
      </c>
      <c r="B180" t="s">
        <v>20</v>
      </c>
      <c r="C180">
        <v>8</v>
      </c>
      <c r="D180" t="s">
        <v>22</v>
      </c>
      <c r="E180" t="s">
        <v>46</v>
      </c>
      <c r="F180" t="s">
        <v>13</v>
      </c>
      <c r="G180">
        <v>13.7</v>
      </c>
      <c r="H180" t="s">
        <v>53</v>
      </c>
      <c r="I180" t="s">
        <v>20</v>
      </c>
      <c r="J180" t="s">
        <v>269</v>
      </c>
      <c r="K180">
        <f>IF(tblPlacement[Placement_Status]="Placed",1,0)</f>
        <v>1</v>
      </c>
      <c r="L180" t="str">
        <f>IF(tblPlacement[CGPA]&gt;=9,"9+", IF(tblPlacement[CGPA]&gt;=8,"8-9",IF(tblPlacement[CGPA]&gt;=7,"7-8","Below 7")))</f>
        <v>8-9</v>
      </c>
      <c r="M180" t="str">
        <f>IF(tblPlacement[Package_LPA]&gt;=15,"High",IF(tblPlacement[Package_LPA]&gt;=8,"Medium","Low"))</f>
        <v>Medium</v>
      </c>
      <c r="N180">
        <f>IF(tblPlacement[Internship]="Yes",1,0)</f>
        <v>0</v>
      </c>
    </row>
    <row r="181" spans="1:14" x14ac:dyDescent="0.3">
      <c r="A181" t="s">
        <v>270</v>
      </c>
      <c r="B181" t="s">
        <v>20</v>
      </c>
      <c r="C181">
        <v>8.5</v>
      </c>
      <c r="D181" t="s">
        <v>22</v>
      </c>
      <c r="E181" t="s">
        <v>39</v>
      </c>
      <c r="F181" t="s">
        <v>13</v>
      </c>
      <c r="G181">
        <v>9.1</v>
      </c>
      <c r="H181" t="s">
        <v>115</v>
      </c>
      <c r="I181" t="s">
        <v>20</v>
      </c>
      <c r="J181" t="s">
        <v>270</v>
      </c>
      <c r="K181">
        <f>IF(tblPlacement[Placement_Status]="Placed",1,0)</f>
        <v>1</v>
      </c>
      <c r="L181" t="str">
        <f>IF(tblPlacement[CGPA]&gt;=9,"9+", IF(tblPlacement[CGPA]&gt;=8,"8-9",IF(tblPlacement[CGPA]&gt;=7,"7-8","Below 7")))</f>
        <v>8-9</v>
      </c>
      <c r="M181" t="str">
        <f>IF(tblPlacement[Package_LPA]&gt;=15,"High",IF(tblPlacement[Package_LPA]&gt;=8,"Medium","Low"))</f>
        <v>Medium</v>
      </c>
      <c r="N181">
        <f>IF(tblPlacement[Internship]="Yes",1,0)</f>
        <v>0</v>
      </c>
    </row>
    <row r="182" spans="1:14" x14ac:dyDescent="0.3">
      <c r="A182" t="s">
        <v>271</v>
      </c>
      <c r="B182" t="s">
        <v>10</v>
      </c>
      <c r="C182">
        <v>8.1999999999999993</v>
      </c>
      <c r="D182" t="s">
        <v>11</v>
      </c>
      <c r="E182" t="s">
        <v>112</v>
      </c>
      <c r="F182" t="s">
        <v>13</v>
      </c>
      <c r="G182">
        <v>14.6</v>
      </c>
      <c r="H182" t="s">
        <v>224</v>
      </c>
      <c r="I182" t="s">
        <v>15</v>
      </c>
      <c r="J182" t="s">
        <v>271</v>
      </c>
      <c r="K182">
        <f>IF(tblPlacement[Placement_Status]="Placed",1,0)</f>
        <v>1</v>
      </c>
      <c r="L182" t="str">
        <f>IF(tblPlacement[CGPA]&gt;=9,"9+", IF(tblPlacement[CGPA]&gt;=8,"8-9",IF(tblPlacement[CGPA]&gt;=7,"7-8","Below 7")))</f>
        <v>8-9</v>
      </c>
      <c r="M182" t="str">
        <f>IF(tblPlacement[Package_LPA]&gt;=15,"High",IF(tblPlacement[Package_LPA]&gt;=8,"Medium","Low"))</f>
        <v>Medium</v>
      </c>
      <c r="N182">
        <f>IF(tblPlacement[Internship]="Yes",1,0)</f>
        <v>1</v>
      </c>
    </row>
    <row r="183" spans="1:14" x14ac:dyDescent="0.3">
      <c r="A183" t="s">
        <v>272</v>
      </c>
      <c r="B183" t="s">
        <v>10</v>
      </c>
      <c r="C183">
        <v>9</v>
      </c>
      <c r="D183" t="s">
        <v>22</v>
      </c>
      <c r="E183" t="s">
        <v>112</v>
      </c>
      <c r="F183" t="s">
        <v>13</v>
      </c>
      <c r="G183">
        <v>8.8000000000000007</v>
      </c>
      <c r="H183" t="s">
        <v>104</v>
      </c>
      <c r="I183" t="s">
        <v>15</v>
      </c>
      <c r="J183" t="s">
        <v>272</v>
      </c>
      <c r="K183">
        <f>IF(tblPlacement[Placement_Status]="Placed",1,0)</f>
        <v>1</v>
      </c>
      <c r="L183" t="str">
        <f>IF(tblPlacement[CGPA]&gt;=9,"9+", IF(tblPlacement[CGPA]&gt;=8,"8-9",IF(tblPlacement[CGPA]&gt;=7,"7-8","Below 7")))</f>
        <v>9+</v>
      </c>
      <c r="M183" t="str">
        <f>IF(tblPlacement[Package_LPA]&gt;=15,"High",IF(tblPlacement[Package_LPA]&gt;=8,"Medium","Low"))</f>
        <v>Medium</v>
      </c>
      <c r="N183">
        <f>IF(tblPlacement[Internship]="Yes",1,0)</f>
        <v>0</v>
      </c>
    </row>
    <row r="184" spans="1:14" x14ac:dyDescent="0.3">
      <c r="A184" t="s">
        <v>273</v>
      </c>
      <c r="B184" t="s">
        <v>17</v>
      </c>
      <c r="C184">
        <v>6.2</v>
      </c>
      <c r="D184" t="s">
        <v>22</v>
      </c>
      <c r="E184" t="s">
        <v>76</v>
      </c>
      <c r="F184" t="s">
        <v>13</v>
      </c>
      <c r="G184">
        <v>4.5999999999999996</v>
      </c>
      <c r="H184" t="s">
        <v>67</v>
      </c>
      <c r="I184" t="s">
        <v>20</v>
      </c>
      <c r="J184" t="s">
        <v>273</v>
      </c>
      <c r="K184">
        <f>IF(tblPlacement[Placement_Status]="Placed",1,0)</f>
        <v>1</v>
      </c>
      <c r="L184" t="str">
        <f>IF(tblPlacement[CGPA]&gt;=9,"9+", IF(tblPlacement[CGPA]&gt;=8,"8-9",IF(tblPlacement[CGPA]&gt;=7,"7-8","Below 7")))</f>
        <v>Below 7</v>
      </c>
      <c r="M184" t="str">
        <f>IF(tblPlacement[Package_LPA]&gt;=15,"High",IF(tblPlacement[Package_LPA]&gt;=8,"Medium","Low"))</f>
        <v>Low</v>
      </c>
      <c r="N184">
        <f>IF(tblPlacement[Internship]="Yes",1,0)</f>
        <v>0</v>
      </c>
    </row>
    <row r="185" spans="1:14" x14ac:dyDescent="0.3">
      <c r="A185" t="s">
        <v>274</v>
      </c>
      <c r="B185" t="s">
        <v>43</v>
      </c>
      <c r="C185">
        <v>5.7</v>
      </c>
      <c r="D185" t="s">
        <v>22</v>
      </c>
      <c r="E185" t="s">
        <v>44</v>
      </c>
      <c r="F185" t="s">
        <v>32</v>
      </c>
      <c r="G185">
        <v>0</v>
      </c>
      <c r="H185" t="s">
        <v>33</v>
      </c>
      <c r="I185" t="s">
        <v>33</v>
      </c>
      <c r="J185" t="s">
        <v>274</v>
      </c>
      <c r="K185">
        <f>IF(tblPlacement[Placement_Status]="Placed",1,0)</f>
        <v>0</v>
      </c>
      <c r="L185" t="str">
        <f>IF(tblPlacement[CGPA]&gt;=9,"9+", IF(tblPlacement[CGPA]&gt;=8,"8-9",IF(tblPlacement[CGPA]&gt;=7,"7-8","Below 7")))</f>
        <v>Below 7</v>
      </c>
      <c r="M185" t="str">
        <f>IF(tblPlacement[Package_LPA]&gt;=15,"High",IF(tblPlacement[Package_LPA]&gt;=8,"Medium","Low"))</f>
        <v>Low</v>
      </c>
      <c r="N185">
        <f>IF(tblPlacement[Internship]="Yes",1,0)</f>
        <v>0</v>
      </c>
    </row>
    <row r="186" spans="1:14" x14ac:dyDescent="0.3">
      <c r="A186" t="s">
        <v>275</v>
      </c>
      <c r="B186" t="s">
        <v>43</v>
      </c>
      <c r="C186">
        <v>8</v>
      </c>
      <c r="D186" t="s">
        <v>22</v>
      </c>
      <c r="E186" t="s">
        <v>234</v>
      </c>
      <c r="F186" t="s">
        <v>13</v>
      </c>
      <c r="G186">
        <v>14.9</v>
      </c>
      <c r="H186" t="s">
        <v>67</v>
      </c>
      <c r="I186" t="s">
        <v>20</v>
      </c>
      <c r="J186" t="s">
        <v>275</v>
      </c>
      <c r="K186">
        <f>IF(tblPlacement[Placement_Status]="Placed",1,0)</f>
        <v>1</v>
      </c>
      <c r="L186" t="str">
        <f>IF(tblPlacement[CGPA]&gt;=9,"9+", IF(tblPlacement[CGPA]&gt;=8,"8-9",IF(tblPlacement[CGPA]&gt;=7,"7-8","Below 7")))</f>
        <v>8-9</v>
      </c>
      <c r="M186" t="str">
        <f>IF(tblPlacement[Package_LPA]&gt;=15,"High",IF(tblPlacement[Package_LPA]&gt;=8,"Medium","Low"))</f>
        <v>Medium</v>
      </c>
      <c r="N186">
        <f>IF(tblPlacement[Internship]="Yes",1,0)</f>
        <v>0</v>
      </c>
    </row>
    <row r="187" spans="1:14" x14ac:dyDescent="0.3">
      <c r="A187" t="s">
        <v>276</v>
      </c>
      <c r="B187" t="s">
        <v>17</v>
      </c>
      <c r="C187">
        <v>6.9</v>
      </c>
      <c r="D187" t="s">
        <v>22</v>
      </c>
      <c r="E187" t="s">
        <v>76</v>
      </c>
      <c r="F187" t="s">
        <v>32</v>
      </c>
      <c r="G187">
        <v>0</v>
      </c>
      <c r="H187" t="s">
        <v>33</v>
      </c>
      <c r="I187" t="s">
        <v>33</v>
      </c>
      <c r="J187" t="s">
        <v>276</v>
      </c>
      <c r="K187">
        <f>IF(tblPlacement[Placement_Status]="Placed",1,0)</f>
        <v>0</v>
      </c>
      <c r="L187" t="str">
        <f>IF(tblPlacement[CGPA]&gt;=9,"9+", IF(tblPlacement[CGPA]&gt;=8,"8-9",IF(tblPlacement[CGPA]&gt;=7,"7-8","Below 7")))</f>
        <v>Below 7</v>
      </c>
      <c r="M187" t="str">
        <f>IF(tblPlacement[Package_LPA]&gt;=15,"High",IF(tblPlacement[Package_LPA]&gt;=8,"Medium","Low"))</f>
        <v>Low</v>
      </c>
      <c r="N187">
        <f>IF(tblPlacement[Internship]="Yes",1,0)</f>
        <v>0</v>
      </c>
    </row>
    <row r="188" spans="1:14" x14ac:dyDescent="0.3">
      <c r="A188" t="s">
        <v>277</v>
      </c>
      <c r="B188" t="s">
        <v>43</v>
      </c>
      <c r="C188">
        <v>8.8000000000000007</v>
      </c>
      <c r="D188" t="s">
        <v>11</v>
      </c>
      <c r="E188" t="s">
        <v>69</v>
      </c>
      <c r="F188" t="s">
        <v>13</v>
      </c>
      <c r="G188">
        <v>11.3</v>
      </c>
      <c r="H188" t="s">
        <v>124</v>
      </c>
      <c r="I188" t="s">
        <v>65</v>
      </c>
      <c r="J188" t="s">
        <v>277</v>
      </c>
      <c r="K188">
        <f>IF(tblPlacement[Placement_Status]="Placed",1,0)</f>
        <v>1</v>
      </c>
      <c r="L188" t="str">
        <f>IF(tblPlacement[CGPA]&gt;=9,"9+", IF(tblPlacement[CGPA]&gt;=8,"8-9",IF(tblPlacement[CGPA]&gt;=7,"7-8","Below 7")))</f>
        <v>8-9</v>
      </c>
      <c r="M188" t="str">
        <f>IF(tblPlacement[Package_LPA]&gt;=15,"High",IF(tblPlacement[Package_LPA]&gt;=8,"Medium","Low"))</f>
        <v>Medium</v>
      </c>
      <c r="N188">
        <f>IF(tblPlacement[Internship]="Yes",1,0)</f>
        <v>1</v>
      </c>
    </row>
    <row r="189" spans="1:14" x14ac:dyDescent="0.3">
      <c r="A189" t="s">
        <v>278</v>
      </c>
      <c r="B189" t="s">
        <v>131</v>
      </c>
      <c r="C189">
        <v>7.3</v>
      </c>
      <c r="D189" t="s">
        <v>11</v>
      </c>
      <c r="E189" t="s">
        <v>23</v>
      </c>
      <c r="F189" t="s">
        <v>13</v>
      </c>
      <c r="G189">
        <v>13.5</v>
      </c>
      <c r="H189" t="s">
        <v>124</v>
      </c>
      <c r="I189" t="s">
        <v>65</v>
      </c>
      <c r="J189" t="s">
        <v>278</v>
      </c>
      <c r="K189">
        <f>IF(tblPlacement[Placement_Status]="Placed",1,0)</f>
        <v>1</v>
      </c>
      <c r="L189" t="str">
        <f>IF(tblPlacement[CGPA]&gt;=9,"9+", IF(tblPlacement[CGPA]&gt;=8,"8-9",IF(tblPlacement[CGPA]&gt;=7,"7-8","Below 7")))</f>
        <v>7-8</v>
      </c>
      <c r="M189" t="str">
        <f>IF(tblPlacement[Package_LPA]&gt;=15,"High",IF(tblPlacement[Package_LPA]&gt;=8,"Medium","Low"))</f>
        <v>Medium</v>
      </c>
      <c r="N189">
        <f>IF(tblPlacement[Internship]="Yes",1,0)</f>
        <v>1</v>
      </c>
    </row>
    <row r="190" spans="1:14" x14ac:dyDescent="0.3">
      <c r="A190" t="s">
        <v>279</v>
      </c>
      <c r="B190" t="s">
        <v>17</v>
      </c>
      <c r="C190">
        <v>6.4</v>
      </c>
      <c r="D190" t="s">
        <v>22</v>
      </c>
      <c r="E190" t="s">
        <v>39</v>
      </c>
      <c r="F190" t="s">
        <v>32</v>
      </c>
      <c r="G190">
        <v>0</v>
      </c>
      <c r="H190" t="s">
        <v>33</v>
      </c>
      <c r="I190" t="s">
        <v>33</v>
      </c>
      <c r="J190" t="s">
        <v>279</v>
      </c>
      <c r="K190">
        <f>IF(tblPlacement[Placement_Status]="Placed",1,0)</f>
        <v>0</v>
      </c>
      <c r="L190" t="str">
        <f>IF(tblPlacement[CGPA]&gt;=9,"9+", IF(tblPlacement[CGPA]&gt;=8,"8-9",IF(tblPlacement[CGPA]&gt;=7,"7-8","Below 7")))</f>
        <v>Below 7</v>
      </c>
      <c r="M190" t="str">
        <f>IF(tblPlacement[Package_LPA]&gt;=15,"High",IF(tblPlacement[Package_LPA]&gt;=8,"Medium","Low"))</f>
        <v>Low</v>
      </c>
      <c r="N190">
        <f>IF(tblPlacement[Internship]="Yes",1,0)</f>
        <v>0</v>
      </c>
    </row>
    <row r="191" spans="1:14" x14ac:dyDescent="0.3">
      <c r="A191" t="s">
        <v>280</v>
      </c>
      <c r="B191" t="s">
        <v>17</v>
      </c>
      <c r="C191">
        <v>9.1</v>
      </c>
      <c r="D191" t="s">
        <v>22</v>
      </c>
      <c r="E191" t="s">
        <v>80</v>
      </c>
      <c r="F191" t="s">
        <v>13</v>
      </c>
      <c r="G191">
        <v>11.3</v>
      </c>
      <c r="H191" t="s">
        <v>24</v>
      </c>
      <c r="I191" t="s">
        <v>20</v>
      </c>
      <c r="J191" t="s">
        <v>280</v>
      </c>
      <c r="K191">
        <f>IF(tblPlacement[Placement_Status]="Placed",1,0)</f>
        <v>1</v>
      </c>
      <c r="L191" t="str">
        <f>IF(tblPlacement[CGPA]&gt;=9,"9+", IF(tblPlacement[CGPA]&gt;=8,"8-9",IF(tblPlacement[CGPA]&gt;=7,"7-8","Below 7")))</f>
        <v>9+</v>
      </c>
      <c r="M191" t="str">
        <f>IF(tblPlacement[Package_LPA]&gt;=15,"High",IF(tblPlacement[Package_LPA]&gt;=8,"Medium","Low"))</f>
        <v>Medium</v>
      </c>
      <c r="N191">
        <f>IF(tblPlacement[Internship]="Yes",1,0)</f>
        <v>0</v>
      </c>
    </row>
    <row r="192" spans="1:14" x14ac:dyDescent="0.3">
      <c r="A192" t="s">
        <v>281</v>
      </c>
      <c r="B192" t="s">
        <v>30</v>
      </c>
      <c r="C192">
        <v>9</v>
      </c>
      <c r="D192" t="s">
        <v>11</v>
      </c>
      <c r="E192" t="s">
        <v>18</v>
      </c>
      <c r="F192" t="s">
        <v>13</v>
      </c>
      <c r="G192">
        <v>7.4</v>
      </c>
      <c r="H192" t="s">
        <v>47</v>
      </c>
      <c r="I192" t="s">
        <v>20</v>
      </c>
      <c r="J192" t="s">
        <v>281</v>
      </c>
      <c r="K192">
        <f>IF(tblPlacement[Placement_Status]="Placed",1,0)</f>
        <v>1</v>
      </c>
      <c r="L192" t="str">
        <f>IF(tblPlacement[CGPA]&gt;=9,"9+", IF(tblPlacement[CGPA]&gt;=8,"8-9",IF(tblPlacement[CGPA]&gt;=7,"7-8","Below 7")))</f>
        <v>9+</v>
      </c>
      <c r="M192" t="str">
        <f>IF(tblPlacement[Package_LPA]&gt;=15,"High",IF(tblPlacement[Package_LPA]&gt;=8,"Medium","Low"))</f>
        <v>Low</v>
      </c>
      <c r="N192">
        <f>IF(tblPlacement[Internship]="Yes",1,0)</f>
        <v>1</v>
      </c>
    </row>
    <row r="193" spans="1:14" x14ac:dyDescent="0.3">
      <c r="A193" t="s">
        <v>282</v>
      </c>
      <c r="B193" t="s">
        <v>17</v>
      </c>
      <c r="C193">
        <v>9.8000000000000007</v>
      </c>
      <c r="D193" t="s">
        <v>11</v>
      </c>
      <c r="E193" t="s">
        <v>18</v>
      </c>
      <c r="F193" t="s">
        <v>13</v>
      </c>
      <c r="G193">
        <v>18.600000000000001</v>
      </c>
      <c r="H193" t="s">
        <v>115</v>
      </c>
      <c r="I193" t="s">
        <v>20</v>
      </c>
      <c r="J193" t="s">
        <v>282</v>
      </c>
      <c r="K193">
        <f>IF(tblPlacement[Placement_Status]="Placed",1,0)</f>
        <v>1</v>
      </c>
      <c r="L193" t="str">
        <f>IF(tblPlacement[CGPA]&gt;=9,"9+", IF(tblPlacement[CGPA]&gt;=8,"8-9",IF(tblPlacement[CGPA]&gt;=7,"7-8","Below 7")))</f>
        <v>9+</v>
      </c>
      <c r="M193" t="str">
        <f>IF(tblPlacement[Package_LPA]&gt;=15,"High",IF(tblPlacement[Package_LPA]&gt;=8,"Medium","Low"))</f>
        <v>High</v>
      </c>
      <c r="N193">
        <f>IF(tblPlacement[Internship]="Yes",1,0)</f>
        <v>1</v>
      </c>
    </row>
    <row r="194" spans="1:14" x14ac:dyDescent="0.3">
      <c r="A194" t="s">
        <v>283</v>
      </c>
      <c r="B194" t="s">
        <v>20</v>
      </c>
      <c r="C194">
        <v>9</v>
      </c>
      <c r="D194" t="s">
        <v>22</v>
      </c>
      <c r="E194" t="s">
        <v>39</v>
      </c>
      <c r="F194" t="s">
        <v>32</v>
      </c>
      <c r="G194">
        <v>0</v>
      </c>
      <c r="H194" t="s">
        <v>33</v>
      </c>
      <c r="I194" t="s">
        <v>33</v>
      </c>
      <c r="J194" t="s">
        <v>283</v>
      </c>
      <c r="K194">
        <f>IF(tblPlacement[Placement_Status]="Placed",1,0)</f>
        <v>0</v>
      </c>
      <c r="L194" t="str">
        <f>IF(tblPlacement[CGPA]&gt;=9,"9+", IF(tblPlacement[CGPA]&gt;=8,"8-9",IF(tblPlacement[CGPA]&gt;=7,"7-8","Below 7")))</f>
        <v>9+</v>
      </c>
      <c r="M194" t="str">
        <f>IF(tblPlacement[Package_LPA]&gt;=15,"High",IF(tblPlacement[Package_LPA]&gt;=8,"Medium","Low"))</f>
        <v>Low</v>
      </c>
      <c r="N194">
        <f>IF(tblPlacement[Internship]="Yes",1,0)</f>
        <v>0</v>
      </c>
    </row>
    <row r="195" spans="1:14" x14ac:dyDescent="0.3">
      <c r="A195" t="s">
        <v>284</v>
      </c>
      <c r="B195" t="s">
        <v>30</v>
      </c>
      <c r="C195">
        <v>8</v>
      </c>
      <c r="D195" t="s">
        <v>22</v>
      </c>
      <c r="E195" t="s">
        <v>285</v>
      </c>
      <c r="F195" t="s">
        <v>13</v>
      </c>
      <c r="G195">
        <v>5.8</v>
      </c>
      <c r="H195" t="s">
        <v>142</v>
      </c>
      <c r="I195" t="s">
        <v>37</v>
      </c>
      <c r="J195" t="s">
        <v>284</v>
      </c>
      <c r="K195">
        <f>IF(tblPlacement[Placement_Status]="Placed",1,0)</f>
        <v>1</v>
      </c>
      <c r="L195" t="str">
        <f>IF(tblPlacement[CGPA]&gt;=9,"9+", IF(tblPlacement[CGPA]&gt;=8,"8-9",IF(tblPlacement[CGPA]&gt;=7,"7-8","Below 7")))</f>
        <v>8-9</v>
      </c>
      <c r="M195" t="str">
        <f>IF(tblPlacement[Package_LPA]&gt;=15,"High",IF(tblPlacement[Package_LPA]&gt;=8,"Medium","Low"))</f>
        <v>Low</v>
      </c>
      <c r="N195">
        <f>IF(tblPlacement[Internship]="Yes",1,0)</f>
        <v>0</v>
      </c>
    </row>
    <row r="196" spans="1:14" x14ac:dyDescent="0.3">
      <c r="A196" t="s">
        <v>286</v>
      </c>
      <c r="B196" t="s">
        <v>20</v>
      </c>
      <c r="C196">
        <v>6.6</v>
      </c>
      <c r="D196" t="s">
        <v>11</v>
      </c>
      <c r="E196" t="s">
        <v>200</v>
      </c>
      <c r="F196" t="s">
        <v>32</v>
      </c>
      <c r="G196">
        <v>0</v>
      </c>
      <c r="H196" t="s">
        <v>33</v>
      </c>
      <c r="I196" t="s">
        <v>33</v>
      </c>
      <c r="J196" t="s">
        <v>286</v>
      </c>
      <c r="K196">
        <f>IF(tblPlacement[Placement_Status]="Placed",1,0)</f>
        <v>0</v>
      </c>
      <c r="L196" t="str">
        <f>IF(tblPlacement[CGPA]&gt;=9,"9+", IF(tblPlacement[CGPA]&gt;=8,"8-9",IF(tblPlacement[CGPA]&gt;=7,"7-8","Below 7")))</f>
        <v>Below 7</v>
      </c>
      <c r="M196" t="str">
        <f>IF(tblPlacement[Package_LPA]&gt;=15,"High",IF(tblPlacement[Package_LPA]&gt;=8,"Medium","Low"))</f>
        <v>Low</v>
      </c>
      <c r="N196">
        <f>IF(tblPlacement[Internship]="Yes",1,0)</f>
        <v>1</v>
      </c>
    </row>
    <row r="197" spans="1:14" x14ac:dyDescent="0.3">
      <c r="A197" t="s">
        <v>287</v>
      </c>
      <c r="B197" t="s">
        <v>10</v>
      </c>
      <c r="C197">
        <v>5.5</v>
      </c>
      <c r="D197" t="s">
        <v>22</v>
      </c>
      <c r="E197" t="s">
        <v>110</v>
      </c>
      <c r="F197" t="s">
        <v>32</v>
      </c>
      <c r="G197">
        <v>0</v>
      </c>
      <c r="H197" t="s">
        <v>33</v>
      </c>
      <c r="I197" t="s">
        <v>33</v>
      </c>
      <c r="J197" t="s">
        <v>287</v>
      </c>
      <c r="K197">
        <f>IF(tblPlacement[Placement_Status]="Placed",1,0)</f>
        <v>0</v>
      </c>
      <c r="L197" t="str">
        <f>IF(tblPlacement[CGPA]&gt;=9,"9+", IF(tblPlacement[CGPA]&gt;=8,"8-9",IF(tblPlacement[CGPA]&gt;=7,"7-8","Below 7")))</f>
        <v>Below 7</v>
      </c>
      <c r="M197" t="str">
        <f>IF(tblPlacement[Package_LPA]&gt;=15,"High",IF(tblPlacement[Package_LPA]&gt;=8,"Medium","Low"))</f>
        <v>Low</v>
      </c>
      <c r="N197">
        <f>IF(tblPlacement[Internship]="Yes",1,0)</f>
        <v>0</v>
      </c>
    </row>
    <row r="198" spans="1:14" x14ac:dyDescent="0.3">
      <c r="A198" t="s">
        <v>288</v>
      </c>
      <c r="B198" t="s">
        <v>17</v>
      </c>
      <c r="C198">
        <v>7.6</v>
      </c>
      <c r="D198" t="s">
        <v>11</v>
      </c>
      <c r="E198" t="s">
        <v>23</v>
      </c>
      <c r="F198" t="s">
        <v>13</v>
      </c>
      <c r="G198">
        <v>8.1999999999999993</v>
      </c>
      <c r="H198" t="s">
        <v>115</v>
      </c>
      <c r="I198" t="s">
        <v>20</v>
      </c>
      <c r="J198" t="s">
        <v>288</v>
      </c>
      <c r="K198">
        <f>IF(tblPlacement[Placement_Status]="Placed",1,0)</f>
        <v>1</v>
      </c>
      <c r="L198" t="str">
        <f>IF(tblPlacement[CGPA]&gt;=9,"9+", IF(tblPlacement[CGPA]&gt;=8,"8-9",IF(tblPlacement[CGPA]&gt;=7,"7-8","Below 7")))</f>
        <v>7-8</v>
      </c>
      <c r="M198" t="str">
        <f>IF(tblPlacement[Package_LPA]&gt;=15,"High",IF(tblPlacement[Package_LPA]&gt;=8,"Medium","Low"))</f>
        <v>Medium</v>
      </c>
      <c r="N198">
        <f>IF(tblPlacement[Internship]="Yes",1,0)</f>
        <v>1</v>
      </c>
    </row>
    <row r="199" spans="1:14" x14ac:dyDescent="0.3">
      <c r="A199" t="s">
        <v>289</v>
      </c>
      <c r="B199" t="s">
        <v>20</v>
      </c>
      <c r="C199">
        <v>8.3000000000000007</v>
      </c>
      <c r="D199" t="s">
        <v>11</v>
      </c>
      <c r="E199" t="s">
        <v>46</v>
      </c>
      <c r="F199" t="s">
        <v>13</v>
      </c>
      <c r="G199">
        <v>17.3</v>
      </c>
      <c r="H199" t="s">
        <v>47</v>
      </c>
      <c r="I199" t="s">
        <v>20</v>
      </c>
      <c r="J199" t="s">
        <v>289</v>
      </c>
      <c r="K199">
        <f>IF(tblPlacement[Placement_Status]="Placed",1,0)</f>
        <v>1</v>
      </c>
      <c r="L199" t="str">
        <f>IF(tblPlacement[CGPA]&gt;=9,"9+", IF(tblPlacement[CGPA]&gt;=8,"8-9",IF(tblPlacement[CGPA]&gt;=7,"7-8","Below 7")))</f>
        <v>8-9</v>
      </c>
      <c r="M199" t="str">
        <f>IF(tblPlacement[Package_LPA]&gt;=15,"High",IF(tblPlacement[Package_LPA]&gt;=8,"Medium","Low"))</f>
        <v>High</v>
      </c>
      <c r="N199">
        <f>IF(tblPlacement[Internship]="Yes",1,0)</f>
        <v>1</v>
      </c>
    </row>
    <row r="200" spans="1:14" x14ac:dyDescent="0.3">
      <c r="A200" t="s">
        <v>290</v>
      </c>
      <c r="B200" t="s">
        <v>17</v>
      </c>
      <c r="C200">
        <v>7</v>
      </c>
      <c r="D200" t="s">
        <v>11</v>
      </c>
      <c r="E200" t="s">
        <v>18</v>
      </c>
      <c r="F200" t="s">
        <v>13</v>
      </c>
      <c r="G200">
        <v>7.9</v>
      </c>
      <c r="H200" t="s">
        <v>115</v>
      </c>
      <c r="I200" t="s">
        <v>20</v>
      </c>
      <c r="J200" t="s">
        <v>290</v>
      </c>
      <c r="K200">
        <f>IF(tblPlacement[Placement_Status]="Placed",1,0)</f>
        <v>1</v>
      </c>
      <c r="L200" t="str">
        <f>IF(tblPlacement[CGPA]&gt;=9,"9+", IF(tblPlacement[CGPA]&gt;=8,"8-9",IF(tblPlacement[CGPA]&gt;=7,"7-8","Below 7")))</f>
        <v>7-8</v>
      </c>
      <c r="M200" t="str">
        <f>IF(tblPlacement[Package_LPA]&gt;=15,"High",IF(tblPlacement[Package_LPA]&gt;=8,"Medium","Low"))</f>
        <v>Low</v>
      </c>
      <c r="N200">
        <f>IF(tblPlacement[Internship]="Yes",1,0)</f>
        <v>1</v>
      </c>
    </row>
    <row r="201" spans="1:14" x14ac:dyDescent="0.3">
      <c r="A201" t="s">
        <v>291</v>
      </c>
      <c r="B201" t="s">
        <v>10</v>
      </c>
      <c r="C201">
        <v>5.7</v>
      </c>
      <c r="D201" t="s">
        <v>22</v>
      </c>
      <c r="E201" t="s">
        <v>18</v>
      </c>
      <c r="F201" t="s">
        <v>13</v>
      </c>
      <c r="G201">
        <v>14</v>
      </c>
      <c r="H201" t="s">
        <v>119</v>
      </c>
      <c r="I201" t="s">
        <v>15</v>
      </c>
      <c r="J201" t="s">
        <v>291</v>
      </c>
      <c r="K201">
        <f>IF(tblPlacement[Placement_Status]="Placed",1,0)</f>
        <v>1</v>
      </c>
      <c r="L201" t="str">
        <f>IF(tblPlacement[CGPA]&gt;=9,"9+", IF(tblPlacement[CGPA]&gt;=8,"8-9",IF(tblPlacement[CGPA]&gt;=7,"7-8","Below 7")))</f>
        <v>Below 7</v>
      </c>
      <c r="M201" t="str">
        <f>IF(tblPlacement[Package_LPA]&gt;=15,"High",IF(tblPlacement[Package_LPA]&gt;=8,"Medium","Low"))</f>
        <v>Medium</v>
      </c>
      <c r="N201">
        <f>IF(tblPlacement[Internship]="Yes",1,0)</f>
        <v>0</v>
      </c>
    </row>
    <row r="202" spans="1:14" x14ac:dyDescent="0.3">
      <c r="A202" t="s">
        <v>292</v>
      </c>
      <c r="B202" t="s">
        <v>10</v>
      </c>
      <c r="C202">
        <v>9.6999999999999993</v>
      </c>
      <c r="D202" t="s">
        <v>11</v>
      </c>
      <c r="E202" t="s">
        <v>60</v>
      </c>
      <c r="F202" t="s">
        <v>13</v>
      </c>
      <c r="G202">
        <v>6.6</v>
      </c>
      <c r="H202" t="s">
        <v>159</v>
      </c>
      <c r="I202" t="s">
        <v>15</v>
      </c>
      <c r="J202" t="s">
        <v>292</v>
      </c>
      <c r="K202">
        <f>IF(tblPlacement[Placement_Status]="Placed",1,0)</f>
        <v>1</v>
      </c>
      <c r="L202" t="str">
        <f>IF(tblPlacement[CGPA]&gt;=9,"9+", IF(tblPlacement[CGPA]&gt;=8,"8-9",IF(tblPlacement[CGPA]&gt;=7,"7-8","Below 7")))</f>
        <v>9+</v>
      </c>
      <c r="M202" t="str">
        <f>IF(tblPlacement[Package_LPA]&gt;=15,"High",IF(tblPlacement[Package_LPA]&gt;=8,"Medium","Low"))</f>
        <v>Low</v>
      </c>
      <c r="N202">
        <f>IF(tblPlacement[Internship]="Yes",1,0)</f>
        <v>1</v>
      </c>
    </row>
    <row r="203" spans="1:14" x14ac:dyDescent="0.3">
      <c r="A203" t="s">
        <v>293</v>
      </c>
      <c r="B203" t="s">
        <v>43</v>
      </c>
      <c r="C203">
        <v>9.3000000000000007</v>
      </c>
      <c r="D203" t="s">
        <v>11</v>
      </c>
      <c r="E203" t="s">
        <v>58</v>
      </c>
      <c r="F203" t="s">
        <v>13</v>
      </c>
      <c r="G203">
        <v>14.3</v>
      </c>
      <c r="H203" t="s">
        <v>128</v>
      </c>
      <c r="I203" t="s">
        <v>43</v>
      </c>
      <c r="J203" t="s">
        <v>293</v>
      </c>
      <c r="K203">
        <f>IF(tblPlacement[Placement_Status]="Placed",1,0)</f>
        <v>1</v>
      </c>
      <c r="L203" t="str">
        <f>IF(tblPlacement[CGPA]&gt;=9,"9+", IF(tblPlacement[CGPA]&gt;=8,"8-9",IF(tblPlacement[CGPA]&gt;=7,"7-8","Below 7")))</f>
        <v>9+</v>
      </c>
      <c r="M203" t="str">
        <f>IF(tblPlacement[Package_LPA]&gt;=15,"High",IF(tblPlacement[Package_LPA]&gt;=8,"Medium","Low"))</f>
        <v>Medium</v>
      </c>
      <c r="N203">
        <f>IF(tblPlacement[Internship]="Yes",1,0)</f>
        <v>1</v>
      </c>
    </row>
    <row r="204" spans="1:14" x14ac:dyDescent="0.3">
      <c r="A204" t="s">
        <v>294</v>
      </c>
      <c r="B204" t="s">
        <v>20</v>
      </c>
      <c r="C204">
        <v>8.8000000000000007</v>
      </c>
      <c r="D204" t="s">
        <v>22</v>
      </c>
      <c r="E204" t="s">
        <v>46</v>
      </c>
      <c r="F204" t="s">
        <v>13</v>
      </c>
      <c r="G204">
        <v>17.3</v>
      </c>
      <c r="H204" t="s">
        <v>47</v>
      </c>
      <c r="I204" t="s">
        <v>20</v>
      </c>
      <c r="J204" t="s">
        <v>294</v>
      </c>
      <c r="K204">
        <f>IF(tblPlacement[Placement_Status]="Placed",1,0)</f>
        <v>1</v>
      </c>
      <c r="L204" t="str">
        <f>IF(tblPlacement[CGPA]&gt;=9,"9+", IF(tblPlacement[CGPA]&gt;=8,"8-9",IF(tblPlacement[CGPA]&gt;=7,"7-8","Below 7")))</f>
        <v>8-9</v>
      </c>
      <c r="M204" t="str">
        <f>IF(tblPlacement[Package_LPA]&gt;=15,"High",IF(tblPlacement[Package_LPA]&gt;=8,"Medium","Low"))</f>
        <v>High</v>
      </c>
      <c r="N204">
        <f>IF(tblPlacement[Internship]="Yes",1,0)</f>
        <v>0</v>
      </c>
    </row>
    <row r="205" spans="1:14" x14ac:dyDescent="0.3">
      <c r="A205" t="s">
        <v>295</v>
      </c>
      <c r="B205" t="s">
        <v>43</v>
      </c>
      <c r="C205">
        <v>9.3000000000000007</v>
      </c>
      <c r="D205" t="s">
        <v>11</v>
      </c>
      <c r="E205" t="s">
        <v>234</v>
      </c>
      <c r="F205" t="s">
        <v>13</v>
      </c>
      <c r="G205">
        <v>16.5</v>
      </c>
      <c r="H205" t="s">
        <v>182</v>
      </c>
      <c r="I205" t="s">
        <v>43</v>
      </c>
      <c r="J205" t="s">
        <v>295</v>
      </c>
      <c r="K205">
        <f>IF(tblPlacement[Placement_Status]="Placed",1,0)</f>
        <v>1</v>
      </c>
      <c r="L205" t="str">
        <f>IF(tblPlacement[CGPA]&gt;=9,"9+", IF(tblPlacement[CGPA]&gt;=8,"8-9",IF(tblPlacement[CGPA]&gt;=7,"7-8","Below 7")))</f>
        <v>9+</v>
      </c>
      <c r="M205" t="str">
        <f>IF(tblPlacement[Package_LPA]&gt;=15,"High",IF(tblPlacement[Package_LPA]&gt;=8,"Medium","Low"))</f>
        <v>High</v>
      </c>
      <c r="N205">
        <f>IF(tblPlacement[Internship]="Yes",1,0)</f>
        <v>1</v>
      </c>
    </row>
    <row r="206" spans="1:14" x14ac:dyDescent="0.3">
      <c r="A206" t="s">
        <v>296</v>
      </c>
      <c r="B206" t="s">
        <v>17</v>
      </c>
      <c r="C206">
        <v>8</v>
      </c>
      <c r="D206" t="s">
        <v>22</v>
      </c>
      <c r="E206" t="s">
        <v>80</v>
      </c>
      <c r="F206" t="s">
        <v>13</v>
      </c>
      <c r="G206">
        <v>14.2</v>
      </c>
      <c r="H206" t="s">
        <v>115</v>
      </c>
      <c r="I206" t="s">
        <v>20</v>
      </c>
      <c r="J206" t="s">
        <v>296</v>
      </c>
      <c r="K206">
        <f>IF(tblPlacement[Placement_Status]="Placed",1,0)</f>
        <v>1</v>
      </c>
      <c r="L206" t="str">
        <f>IF(tblPlacement[CGPA]&gt;=9,"9+", IF(tblPlacement[CGPA]&gt;=8,"8-9",IF(tblPlacement[CGPA]&gt;=7,"7-8","Below 7")))</f>
        <v>8-9</v>
      </c>
      <c r="M206" t="str">
        <f>IF(tblPlacement[Package_LPA]&gt;=15,"High",IF(tblPlacement[Package_LPA]&gt;=8,"Medium","Low"))</f>
        <v>Medium</v>
      </c>
      <c r="N206">
        <f>IF(tblPlacement[Internship]="Yes",1,0)</f>
        <v>0</v>
      </c>
    </row>
    <row r="207" spans="1:14" x14ac:dyDescent="0.3">
      <c r="A207" t="s">
        <v>297</v>
      </c>
      <c r="B207" t="s">
        <v>20</v>
      </c>
      <c r="C207">
        <v>8</v>
      </c>
      <c r="D207" t="s">
        <v>11</v>
      </c>
      <c r="E207" t="s">
        <v>71</v>
      </c>
      <c r="F207" t="s">
        <v>13</v>
      </c>
      <c r="G207">
        <v>13.4</v>
      </c>
      <c r="H207" t="s">
        <v>115</v>
      </c>
      <c r="I207" t="s">
        <v>20</v>
      </c>
      <c r="J207" t="s">
        <v>297</v>
      </c>
      <c r="K207">
        <f>IF(tblPlacement[Placement_Status]="Placed",1,0)</f>
        <v>1</v>
      </c>
      <c r="L207" t="str">
        <f>IF(tblPlacement[CGPA]&gt;=9,"9+", IF(tblPlacement[CGPA]&gt;=8,"8-9",IF(tblPlacement[CGPA]&gt;=7,"7-8","Below 7")))</f>
        <v>8-9</v>
      </c>
      <c r="M207" t="str">
        <f>IF(tblPlacement[Package_LPA]&gt;=15,"High",IF(tblPlacement[Package_LPA]&gt;=8,"Medium","Low"))</f>
        <v>Medium</v>
      </c>
      <c r="N207">
        <f>IF(tblPlacement[Internship]="Yes",1,0)</f>
        <v>1</v>
      </c>
    </row>
    <row r="208" spans="1:14" x14ac:dyDescent="0.3">
      <c r="A208" t="s">
        <v>298</v>
      </c>
      <c r="B208" t="s">
        <v>20</v>
      </c>
      <c r="C208">
        <v>8.1</v>
      </c>
      <c r="D208" t="s">
        <v>22</v>
      </c>
      <c r="E208" t="s">
        <v>18</v>
      </c>
      <c r="F208" t="s">
        <v>13</v>
      </c>
      <c r="G208">
        <v>11.9</v>
      </c>
      <c r="H208" t="s">
        <v>115</v>
      </c>
      <c r="I208" t="s">
        <v>20</v>
      </c>
      <c r="J208" t="s">
        <v>298</v>
      </c>
      <c r="K208">
        <f>IF(tblPlacement[Placement_Status]="Placed",1,0)</f>
        <v>1</v>
      </c>
      <c r="L208" t="str">
        <f>IF(tblPlacement[CGPA]&gt;=9,"9+", IF(tblPlacement[CGPA]&gt;=8,"8-9",IF(tblPlacement[CGPA]&gt;=7,"7-8","Below 7")))</f>
        <v>8-9</v>
      </c>
      <c r="M208" t="str">
        <f>IF(tblPlacement[Package_LPA]&gt;=15,"High",IF(tblPlacement[Package_LPA]&gt;=8,"Medium","Low"))</f>
        <v>Medium</v>
      </c>
      <c r="N208">
        <f>IF(tblPlacement[Internship]="Yes",1,0)</f>
        <v>0</v>
      </c>
    </row>
    <row r="209" spans="1:14" x14ac:dyDescent="0.3">
      <c r="A209" t="s">
        <v>299</v>
      </c>
      <c r="B209" t="s">
        <v>43</v>
      </c>
      <c r="C209">
        <v>5.9</v>
      </c>
      <c r="D209" t="s">
        <v>11</v>
      </c>
      <c r="E209" t="s">
        <v>165</v>
      </c>
      <c r="F209" t="s">
        <v>13</v>
      </c>
      <c r="G209">
        <v>7.8</v>
      </c>
      <c r="H209" t="s">
        <v>264</v>
      </c>
      <c r="I209" t="s">
        <v>43</v>
      </c>
      <c r="J209" t="s">
        <v>299</v>
      </c>
      <c r="K209">
        <f>IF(tblPlacement[Placement_Status]="Placed",1,0)</f>
        <v>1</v>
      </c>
      <c r="L209" t="str">
        <f>IF(tblPlacement[CGPA]&gt;=9,"9+", IF(tblPlacement[CGPA]&gt;=8,"8-9",IF(tblPlacement[CGPA]&gt;=7,"7-8","Below 7")))</f>
        <v>Below 7</v>
      </c>
      <c r="M209" t="str">
        <f>IF(tblPlacement[Package_LPA]&gt;=15,"High",IF(tblPlacement[Package_LPA]&gt;=8,"Medium","Low"))</f>
        <v>Low</v>
      </c>
      <c r="N209">
        <f>IF(tblPlacement[Internship]="Yes",1,0)</f>
        <v>1</v>
      </c>
    </row>
    <row r="210" spans="1:14" x14ac:dyDescent="0.3">
      <c r="A210" t="s">
        <v>300</v>
      </c>
      <c r="B210" t="s">
        <v>26</v>
      </c>
      <c r="C210">
        <v>5.3</v>
      </c>
      <c r="D210" t="s">
        <v>11</v>
      </c>
      <c r="E210" t="s">
        <v>84</v>
      </c>
      <c r="F210" t="s">
        <v>32</v>
      </c>
      <c r="G210">
        <v>0</v>
      </c>
      <c r="H210" t="s">
        <v>33</v>
      </c>
      <c r="I210" t="s">
        <v>33</v>
      </c>
      <c r="J210" t="s">
        <v>300</v>
      </c>
      <c r="K210">
        <f>IF(tblPlacement[Placement_Status]="Placed",1,0)</f>
        <v>0</v>
      </c>
      <c r="L210" t="str">
        <f>IF(tblPlacement[CGPA]&gt;=9,"9+", IF(tblPlacement[CGPA]&gt;=8,"8-9",IF(tblPlacement[CGPA]&gt;=7,"7-8","Below 7")))</f>
        <v>Below 7</v>
      </c>
      <c r="M210" t="str">
        <f>IF(tblPlacement[Package_LPA]&gt;=15,"High",IF(tblPlacement[Package_LPA]&gt;=8,"Medium","Low"))</f>
        <v>Low</v>
      </c>
      <c r="N210">
        <f>IF(tblPlacement[Internship]="Yes",1,0)</f>
        <v>1</v>
      </c>
    </row>
    <row r="211" spans="1:14" x14ac:dyDescent="0.3">
      <c r="A211" t="s">
        <v>301</v>
      </c>
      <c r="B211" t="s">
        <v>20</v>
      </c>
      <c r="C211">
        <v>8.6999999999999993</v>
      </c>
      <c r="D211" t="s">
        <v>11</v>
      </c>
      <c r="E211" t="s">
        <v>46</v>
      </c>
      <c r="F211" t="s">
        <v>13</v>
      </c>
      <c r="G211">
        <v>19.100000000000001</v>
      </c>
      <c r="H211" t="s">
        <v>19</v>
      </c>
      <c r="I211" t="s">
        <v>20</v>
      </c>
      <c r="J211" t="s">
        <v>301</v>
      </c>
      <c r="K211">
        <f>IF(tblPlacement[Placement_Status]="Placed",1,0)</f>
        <v>1</v>
      </c>
      <c r="L211" t="str">
        <f>IF(tblPlacement[CGPA]&gt;=9,"9+", IF(tblPlacement[CGPA]&gt;=8,"8-9",IF(tblPlacement[CGPA]&gt;=7,"7-8","Below 7")))</f>
        <v>8-9</v>
      </c>
      <c r="M211" t="str">
        <f>IF(tblPlacement[Package_LPA]&gt;=15,"High",IF(tblPlacement[Package_LPA]&gt;=8,"Medium","Low"))</f>
        <v>High</v>
      </c>
      <c r="N211">
        <f>IF(tblPlacement[Internship]="Yes",1,0)</f>
        <v>1</v>
      </c>
    </row>
    <row r="212" spans="1:14" x14ac:dyDescent="0.3">
      <c r="A212" t="s">
        <v>302</v>
      </c>
      <c r="B212" t="s">
        <v>17</v>
      </c>
      <c r="C212">
        <v>6.1</v>
      </c>
      <c r="D212" t="s">
        <v>11</v>
      </c>
      <c r="E212" t="s">
        <v>46</v>
      </c>
      <c r="F212" t="s">
        <v>13</v>
      </c>
      <c r="G212">
        <v>7</v>
      </c>
      <c r="H212" t="s">
        <v>81</v>
      </c>
      <c r="I212" t="s">
        <v>20</v>
      </c>
      <c r="J212" t="s">
        <v>302</v>
      </c>
      <c r="K212">
        <f>IF(tblPlacement[Placement_Status]="Placed",1,0)</f>
        <v>1</v>
      </c>
      <c r="L212" t="str">
        <f>IF(tblPlacement[CGPA]&gt;=9,"9+", IF(tblPlacement[CGPA]&gt;=8,"8-9",IF(tblPlacement[CGPA]&gt;=7,"7-8","Below 7")))</f>
        <v>Below 7</v>
      </c>
      <c r="M212" t="str">
        <f>IF(tblPlacement[Package_LPA]&gt;=15,"High",IF(tblPlacement[Package_LPA]&gt;=8,"Medium","Low"))</f>
        <v>Low</v>
      </c>
      <c r="N212">
        <f>IF(tblPlacement[Internship]="Yes",1,0)</f>
        <v>1</v>
      </c>
    </row>
    <row r="213" spans="1:14" x14ac:dyDescent="0.3">
      <c r="A213" t="s">
        <v>303</v>
      </c>
      <c r="B213" t="s">
        <v>30</v>
      </c>
      <c r="C213">
        <v>8.4</v>
      </c>
      <c r="D213" t="s">
        <v>22</v>
      </c>
      <c r="E213" t="s">
        <v>18</v>
      </c>
      <c r="F213" t="s">
        <v>13</v>
      </c>
      <c r="G213">
        <v>17.399999999999999</v>
      </c>
      <c r="H213" t="s">
        <v>61</v>
      </c>
      <c r="I213" t="s">
        <v>37</v>
      </c>
      <c r="J213" t="s">
        <v>303</v>
      </c>
      <c r="K213">
        <f>IF(tblPlacement[Placement_Status]="Placed",1,0)</f>
        <v>1</v>
      </c>
      <c r="L213" t="str">
        <f>IF(tblPlacement[CGPA]&gt;=9,"9+", IF(tblPlacement[CGPA]&gt;=8,"8-9",IF(tblPlacement[CGPA]&gt;=7,"7-8","Below 7")))</f>
        <v>8-9</v>
      </c>
      <c r="M213" t="str">
        <f>IF(tblPlacement[Package_LPA]&gt;=15,"High",IF(tblPlacement[Package_LPA]&gt;=8,"Medium","Low"))</f>
        <v>High</v>
      </c>
      <c r="N213">
        <f>IF(tblPlacement[Internship]="Yes",1,0)</f>
        <v>0</v>
      </c>
    </row>
    <row r="214" spans="1:14" x14ac:dyDescent="0.3">
      <c r="A214" t="s">
        <v>304</v>
      </c>
      <c r="B214" t="s">
        <v>43</v>
      </c>
      <c r="C214">
        <v>9.6999999999999993</v>
      </c>
      <c r="D214" t="s">
        <v>22</v>
      </c>
      <c r="E214" t="s">
        <v>39</v>
      </c>
      <c r="F214" t="s">
        <v>32</v>
      </c>
      <c r="G214">
        <v>0</v>
      </c>
      <c r="H214" t="s">
        <v>33</v>
      </c>
      <c r="I214" t="s">
        <v>33</v>
      </c>
      <c r="J214" t="s">
        <v>304</v>
      </c>
      <c r="K214">
        <f>IF(tblPlacement[Placement_Status]="Placed",1,0)</f>
        <v>0</v>
      </c>
      <c r="L214" t="str">
        <f>IF(tblPlacement[CGPA]&gt;=9,"9+", IF(tblPlacement[CGPA]&gt;=8,"8-9",IF(tblPlacement[CGPA]&gt;=7,"7-8","Below 7")))</f>
        <v>9+</v>
      </c>
      <c r="M214" t="str">
        <f>IF(tblPlacement[Package_LPA]&gt;=15,"High",IF(tblPlacement[Package_LPA]&gt;=8,"Medium","Low"))</f>
        <v>Low</v>
      </c>
      <c r="N214">
        <f>IF(tblPlacement[Internship]="Yes",1,0)</f>
        <v>0</v>
      </c>
    </row>
    <row r="215" spans="1:14" x14ac:dyDescent="0.3">
      <c r="A215" t="s">
        <v>305</v>
      </c>
      <c r="B215" t="s">
        <v>30</v>
      </c>
      <c r="C215">
        <v>6.5</v>
      </c>
      <c r="D215" t="s">
        <v>11</v>
      </c>
      <c r="E215" t="s">
        <v>60</v>
      </c>
      <c r="F215" t="s">
        <v>32</v>
      </c>
      <c r="G215">
        <v>0</v>
      </c>
      <c r="H215" t="s">
        <v>33</v>
      </c>
      <c r="I215" t="s">
        <v>33</v>
      </c>
      <c r="J215" t="s">
        <v>305</v>
      </c>
      <c r="K215">
        <f>IF(tblPlacement[Placement_Status]="Placed",1,0)</f>
        <v>0</v>
      </c>
      <c r="L215" t="str">
        <f>IF(tblPlacement[CGPA]&gt;=9,"9+", IF(tblPlacement[CGPA]&gt;=8,"8-9",IF(tblPlacement[CGPA]&gt;=7,"7-8","Below 7")))</f>
        <v>Below 7</v>
      </c>
      <c r="M215" t="str">
        <f>IF(tblPlacement[Package_LPA]&gt;=15,"High",IF(tblPlacement[Package_LPA]&gt;=8,"Medium","Low"))</f>
        <v>Low</v>
      </c>
      <c r="N215">
        <f>IF(tblPlacement[Internship]="Yes",1,0)</f>
        <v>1</v>
      </c>
    </row>
    <row r="216" spans="1:14" x14ac:dyDescent="0.3">
      <c r="A216" t="s">
        <v>306</v>
      </c>
      <c r="B216" t="s">
        <v>26</v>
      </c>
      <c r="C216">
        <v>8.1</v>
      </c>
      <c r="D216" t="s">
        <v>22</v>
      </c>
      <c r="E216" t="s">
        <v>144</v>
      </c>
      <c r="F216" t="s">
        <v>13</v>
      </c>
      <c r="G216">
        <v>12.2</v>
      </c>
      <c r="H216" t="s">
        <v>124</v>
      </c>
      <c r="I216" t="s">
        <v>65</v>
      </c>
      <c r="J216" t="s">
        <v>306</v>
      </c>
      <c r="K216">
        <f>IF(tblPlacement[Placement_Status]="Placed",1,0)</f>
        <v>1</v>
      </c>
      <c r="L216" t="str">
        <f>IF(tblPlacement[CGPA]&gt;=9,"9+", IF(tblPlacement[CGPA]&gt;=8,"8-9",IF(tblPlacement[CGPA]&gt;=7,"7-8","Below 7")))</f>
        <v>8-9</v>
      </c>
      <c r="M216" t="str">
        <f>IF(tblPlacement[Package_LPA]&gt;=15,"High",IF(tblPlacement[Package_LPA]&gt;=8,"Medium","Low"))</f>
        <v>Medium</v>
      </c>
      <c r="N216">
        <f>IF(tblPlacement[Internship]="Yes",1,0)</f>
        <v>0</v>
      </c>
    </row>
    <row r="217" spans="1:14" x14ac:dyDescent="0.3">
      <c r="A217" t="s">
        <v>307</v>
      </c>
      <c r="B217" t="s">
        <v>17</v>
      </c>
      <c r="C217">
        <v>7.7</v>
      </c>
      <c r="D217" t="s">
        <v>11</v>
      </c>
      <c r="E217" t="s">
        <v>23</v>
      </c>
      <c r="F217" t="s">
        <v>13</v>
      </c>
      <c r="G217">
        <v>9.3000000000000007</v>
      </c>
      <c r="H217" t="s">
        <v>72</v>
      </c>
      <c r="I217" t="s">
        <v>20</v>
      </c>
      <c r="J217" t="s">
        <v>307</v>
      </c>
      <c r="K217">
        <f>IF(tblPlacement[Placement_Status]="Placed",1,0)</f>
        <v>1</v>
      </c>
      <c r="L217" t="str">
        <f>IF(tblPlacement[CGPA]&gt;=9,"9+", IF(tblPlacement[CGPA]&gt;=8,"8-9",IF(tblPlacement[CGPA]&gt;=7,"7-8","Below 7")))</f>
        <v>7-8</v>
      </c>
      <c r="M217" t="str">
        <f>IF(tblPlacement[Package_LPA]&gt;=15,"High",IF(tblPlacement[Package_LPA]&gt;=8,"Medium","Low"))</f>
        <v>Medium</v>
      </c>
      <c r="N217">
        <f>IF(tblPlacement[Internship]="Yes",1,0)</f>
        <v>1</v>
      </c>
    </row>
    <row r="218" spans="1:14" x14ac:dyDescent="0.3">
      <c r="A218" t="s">
        <v>308</v>
      </c>
      <c r="B218" t="s">
        <v>131</v>
      </c>
      <c r="C218">
        <v>8.5</v>
      </c>
      <c r="D218" t="s">
        <v>11</v>
      </c>
      <c r="E218" t="s">
        <v>23</v>
      </c>
      <c r="F218" t="s">
        <v>13</v>
      </c>
      <c r="G218">
        <v>16.600000000000001</v>
      </c>
      <c r="H218" t="s">
        <v>115</v>
      </c>
      <c r="I218" t="s">
        <v>309</v>
      </c>
      <c r="J218" t="s">
        <v>308</v>
      </c>
      <c r="K218">
        <f>IF(tblPlacement[Placement_Status]="Placed",1,0)</f>
        <v>1</v>
      </c>
      <c r="L218" t="str">
        <f>IF(tblPlacement[CGPA]&gt;=9,"9+", IF(tblPlacement[CGPA]&gt;=8,"8-9",IF(tblPlacement[CGPA]&gt;=7,"7-8","Below 7")))</f>
        <v>8-9</v>
      </c>
      <c r="M218" t="str">
        <f>IF(tblPlacement[Package_LPA]&gt;=15,"High",IF(tblPlacement[Package_LPA]&gt;=8,"Medium","Low"))</f>
        <v>High</v>
      </c>
      <c r="N218">
        <f>IF(tblPlacement[Internship]="Yes",1,0)</f>
        <v>1</v>
      </c>
    </row>
    <row r="219" spans="1:14" x14ac:dyDescent="0.3">
      <c r="A219" t="s">
        <v>310</v>
      </c>
      <c r="B219" t="s">
        <v>20</v>
      </c>
      <c r="C219">
        <v>8.3000000000000007</v>
      </c>
      <c r="D219" t="s">
        <v>11</v>
      </c>
      <c r="E219" t="s">
        <v>39</v>
      </c>
      <c r="F219" t="s">
        <v>13</v>
      </c>
      <c r="G219">
        <v>12.3</v>
      </c>
      <c r="H219" t="s">
        <v>47</v>
      </c>
      <c r="I219" t="s">
        <v>20</v>
      </c>
      <c r="J219" t="s">
        <v>310</v>
      </c>
      <c r="K219">
        <f>IF(tblPlacement[Placement_Status]="Placed",1,0)</f>
        <v>1</v>
      </c>
      <c r="L219" t="str">
        <f>IF(tblPlacement[CGPA]&gt;=9,"9+", IF(tblPlacement[CGPA]&gt;=8,"8-9",IF(tblPlacement[CGPA]&gt;=7,"7-8","Below 7")))</f>
        <v>8-9</v>
      </c>
      <c r="M219" t="str">
        <f>IF(tblPlacement[Package_LPA]&gt;=15,"High",IF(tblPlacement[Package_LPA]&gt;=8,"Medium","Low"))</f>
        <v>Medium</v>
      </c>
      <c r="N219">
        <f>IF(tblPlacement[Internship]="Yes",1,0)</f>
        <v>1</v>
      </c>
    </row>
    <row r="220" spans="1:14" x14ac:dyDescent="0.3">
      <c r="A220" t="s">
        <v>311</v>
      </c>
      <c r="B220" t="s">
        <v>43</v>
      </c>
      <c r="C220">
        <v>9</v>
      </c>
      <c r="D220" t="s">
        <v>11</v>
      </c>
      <c r="E220" t="s">
        <v>58</v>
      </c>
      <c r="F220" t="s">
        <v>13</v>
      </c>
      <c r="G220">
        <v>11.1</v>
      </c>
      <c r="H220" t="s">
        <v>124</v>
      </c>
      <c r="I220" t="s">
        <v>65</v>
      </c>
      <c r="J220" t="s">
        <v>311</v>
      </c>
      <c r="K220">
        <f>IF(tblPlacement[Placement_Status]="Placed",1,0)</f>
        <v>1</v>
      </c>
      <c r="L220" t="str">
        <f>IF(tblPlacement[CGPA]&gt;=9,"9+", IF(tblPlacement[CGPA]&gt;=8,"8-9",IF(tblPlacement[CGPA]&gt;=7,"7-8","Below 7")))</f>
        <v>9+</v>
      </c>
      <c r="M220" t="str">
        <f>IF(tblPlacement[Package_LPA]&gt;=15,"High",IF(tblPlacement[Package_LPA]&gt;=8,"Medium","Low"))</f>
        <v>Medium</v>
      </c>
      <c r="N220">
        <f>IF(tblPlacement[Internship]="Yes",1,0)</f>
        <v>1</v>
      </c>
    </row>
    <row r="221" spans="1:14" x14ac:dyDescent="0.3">
      <c r="A221" t="s">
        <v>312</v>
      </c>
      <c r="B221" t="s">
        <v>26</v>
      </c>
      <c r="C221">
        <v>9.1</v>
      </c>
      <c r="D221" t="s">
        <v>11</v>
      </c>
      <c r="E221" t="s">
        <v>63</v>
      </c>
      <c r="F221" t="s">
        <v>13</v>
      </c>
      <c r="G221">
        <v>10.1</v>
      </c>
      <c r="H221" t="s">
        <v>313</v>
      </c>
      <c r="I221" t="s">
        <v>26</v>
      </c>
      <c r="J221" t="s">
        <v>312</v>
      </c>
      <c r="K221">
        <f>IF(tblPlacement[Placement_Status]="Placed",1,0)</f>
        <v>1</v>
      </c>
      <c r="L221" t="str">
        <f>IF(tblPlacement[CGPA]&gt;=9,"9+", IF(tblPlacement[CGPA]&gt;=8,"8-9",IF(tblPlacement[CGPA]&gt;=7,"7-8","Below 7")))</f>
        <v>9+</v>
      </c>
      <c r="M221" t="str">
        <f>IF(tblPlacement[Package_LPA]&gt;=15,"High",IF(tblPlacement[Package_LPA]&gt;=8,"Medium","Low"))</f>
        <v>Medium</v>
      </c>
      <c r="N221">
        <f>IF(tblPlacement[Internship]="Yes",1,0)</f>
        <v>1</v>
      </c>
    </row>
    <row r="222" spans="1:14" x14ac:dyDescent="0.3">
      <c r="A222" t="s">
        <v>314</v>
      </c>
      <c r="B222" t="s">
        <v>26</v>
      </c>
      <c r="C222">
        <v>5.9</v>
      </c>
      <c r="D222" t="s">
        <v>22</v>
      </c>
      <c r="E222" t="s">
        <v>39</v>
      </c>
      <c r="F222" t="s">
        <v>32</v>
      </c>
      <c r="G222">
        <v>0</v>
      </c>
      <c r="H222" t="s">
        <v>33</v>
      </c>
      <c r="I222" t="s">
        <v>33</v>
      </c>
      <c r="J222" t="s">
        <v>314</v>
      </c>
      <c r="K222">
        <f>IF(tblPlacement[Placement_Status]="Placed",1,0)</f>
        <v>0</v>
      </c>
      <c r="L222" t="str">
        <f>IF(tblPlacement[CGPA]&gt;=9,"9+", IF(tblPlacement[CGPA]&gt;=8,"8-9",IF(tblPlacement[CGPA]&gt;=7,"7-8","Below 7")))</f>
        <v>Below 7</v>
      </c>
      <c r="M222" t="str">
        <f>IF(tblPlacement[Package_LPA]&gt;=15,"High",IF(tblPlacement[Package_LPA]&gt;=8,"Medium","Low"))</f>
        <v>Low</v>
      </c>
      <c r="N222">
        <f>IF(tblPlacement[Internship]="Yes",1,0)</f>
        <v>0</v>
      </c>
    </row>
    <row r="223" spans="1:14" x14ac:dyDescent="0.3">
      <c r="A223" t="s">
        <v>315</v>
      </c>
      <c r="B223" t="s">
        <v>30</v>
      </c>
      <c r="C223">
        <v>9</v>
      </c>
      <c r="D223" t="s">
        <v>11</v>
      </c>
      <c r="E223" t="s">
        <v>285</v>
      </c>
      <c r="F223" t="s">
        <v>32</v>
      </c>
      <c r="G223">
        <v>0</v>
      </c>
      <c r="H223" t="s">
        <v>33</v>
      </c>
      <c r="I223" t="s">
        <v>33</v>
      </c>
      <c r="J223" t="s">
        <v>315</v>
      </c>
      <c r="K223">
        <f>IF(tblPlacement[Placement_Status]="Placed",1,0)</f>
        <v>0</v>
      </c>
      <c r="L223" t="str">
        <f>IF(tblPlacement[CGPA]&gt;=9,"9+", IF(tblPlacement[CGPA]&gt;=8,"8-9",IF(tblPlacement[CGPA]&gt;=7,"7-8","Below 7")))</f>
        <v>9+</v>
      </c>
      <c r="M223" t="str">
        <f>IF(tblPlacement[Package_LPA]&gt;=15,"High",IF(tblPlacement[Package_LPA]&gt;=8,"Medium","Low"))</f>
        <v>Low</v>
      </c>
      <c r="N223">
        <f>IF(tblPlacement[Internship]="Yes",1,0)</f>
        <v>1</v>
      </c>
    </row>
    <row r="224" spans="1:14" x14ac:dyDescent="0.3">
      <c r="A224" t="s">
        <v>316</v>
      </c>
      <c r="B224" t="s">
        <v>43</v>
      </c>
      <c r="C224">
        <v>6.4</v>
      </c>
      <c r="D224" t="s">
        <v>11</v>
      </c>
      <c r="E224" t="s">
        <v>60</v>
      </c>
      <c r="F224" t="s">
        <v>32</v>
      </c>
      <c r="G224">
        <v>0</v>
      </c>
      <c r="H224" t="s">
        <v>33</v>
      </c>
      <c r="I224" t="s">
        <v>33</v>
      </c>
      <c r="J224" t="s">
        <v>316</v>
      </c>
      <c r="K224">
        <f>IF(tblPlacement[Placement_Status]="Placed",1,0)</f>
        <v>0</v>
      </c>
      <c r="L224" t="str">
        <f>IF(tblPlacement[CGPA]&gt;=9,"9+", IF(tblPlacement[CGPA]&gt;=8,"8-9",IF(tblPlacement[CGPA]&gt;=7,"7-8","Below 7")))</f>
        <v>Below 7</v>
      </c>
      <c r="M224" t="str">
        <f>IF(tblPlacement[Package_LPA]&gt;=15,"High",IF(tblPlacement[Package_LPA]&gt;=8,"Medium","Low"))</f>
        <v>Low</v>
      </c>
      <c r="N224">
        <f>IF(tblPlacement[Internship]="Yes",1,0)</f>
        <v>1</v>
      </c>
    </row>
    <row r="225" spans="1:14" x14ac:dyDescent="0.3">
      <c r="A225" t="s">
        <v>317</v>
      </c>
      <c r="B225" t="s">
        <v>17</v>
      </c>
      <c r="C225">
        <v>9.3000000000000007</v>
      </c>
      <c r="D225" t="s">
        <v>11</v>
      </c>
      <c r="E225" t="s">
        <v>80</v>
      </c>
      <c r="F225" t="s">
        <v>13</v>
      </c>
      <c r="G225">
        <v>14.3</v>
      </c>
      <c r="H225" t="s">
        <v>24</v>
      </c>
      <c r="I225" t="s">
        <v>20</v>
      </c>
      <c r="J225" t="s">
        <v>317</v>
      </c>
      <c r="K225">
        <f>IF(tblPlacement[Placement_Status]="Placed",1,0)</f>
        <v>1</v>
      </c>
      <c r="L225" t="str">
        <f>IF(tblPlacement[CGPA]&gt;=9,"9+", IF(tblPlacement[CGPA]&gt;=8,"8-9",IF(tblPlacement[CGPA]&gt;=7,"7-8","Below 7")))</f>
        <v>9+</v>
      </c>
      <c r="M225" t="str">
        <f>IF(tblPlacement[Package_LPA]&gt;=15,"High",IF(tblPlacement[Package_LPA]&gt;=8,"Medium","Low"))</f>
        <v>Medium</v>
      </c>
      <c r="N225">
        <f>IF(tblPlacement[Internship]="Yes",1,0)</f>
        <v>1</v>
      </c>
    </row>
    <row r="226" spans="1:14" x14ac:dyDescent="0.3">
      <c r="A226" t="s">
        <v>318</v>
      </c>
      <c r="B226" t="s">
        <v>17</v>
      </c>
      <c r="C226">
        <v>7.1</v>
      </c>
      <c r="D226" t="s">
        <v>11</v>
      </c>
      <c r="E226" t="s">
        <v>39</v>
      </c>
      <c r="F226" t="s">
        <v>13</v>
      </c>
      <c r="G226">
        <v>15.6</v>
      </c>
      <c r="H226" t="s">
        <v>115</v>
      </c>
      <c r="I226" t="s">
        <v>20</v>
      </c>
      <c r="J226" t="s">
        <v>318</v>
      </c>
      <c r="K226">
        <f>IF(tblPlacement[Placement_Status]="Placed",1,0)</f>
        <v>1</v>
      </c>
      <c r="L226" t="str">
        <f>IF(tblPlacement[CGPA]&gt;=9,"9+", IF(tblPlacement[CGPA]&gt;=8,"8-9",IF(tblPlacement[CGPA]&gt;=7,"7-8","Below 7")))</f>
        <v>7-8</v>
      </c>
      <c r="M226" t="str">
        <f>IF(tblPlacement[Package_LPA]&gt;=15,"High",IF(tblPlacement[Package_LPA]&gt;=8,"Medium","Low"))</f>
        <v>High</v>
      </c>
      <c r="N226">
        <f>IF(tblPlacement[Internship]="Yes",1,0)</f>
        <v>1</v>
      </c>
    </row>
    <row r="227" spans="1:14" x14ac:dyDescent="0.3">
      <c r="A227" t="s">
        <v>319</v>
      </c>
      <c r="B227" t="s">
        <v>43</v>
      </c>
      <c r="C227">
        <v>9.6999999999999993</v>
      </c>
      <c r="D227" t="s">
        <v>11</v>
      </c>
      <c r="E227" t="s">
        <v>39</v>
      </c>
      <c r="F227" t="s">
        <v>13</v>
      </c>
      <c r="G227">
        <v>7.9</v>
      </c>
      <c r="H227" t="s">
        <v>124</v>
      </c>
      <c r="I227" t="s">
        <v>43</v>
      </c>
      <c r="J227" t="s">
        <v>319</v>
      </c>
      <c r="K227">
        <f>IF(tblPlacement[Placement_Status]="Placed",1,0)</f>
        <v>1</v>
      </c>
      <c r="L227" t="str">
        <f>IF(tblPlacement[CGPA]&gt;=9,"9+", IF(tblPlacement[CGPA]&gt;=8,"8-9",IF(tblPlacement[CGPA]&gt;=7,"7-8","Below 7")))</f>
        <v>9+</v>
      </c>
      <c r="M227" t="str">
        <f>IF(tblPlacement[Package_LPA]&gt;=15,"High",IF(tblPlacement[Package_LPA]&gt;=8,"Medium","Low"))</f>
        <v>Low</v>
      </c>
      <c r="N227">
        <f>IF(tblPlacement[Internship]="Yes",1,0)</f>
        <v>1</v>
      </c>
    </row>
    <row r="228" spans="1:14" x14ac:dyDescent="0.3">
      <c r="A228" t="s">
        <v>320</v>
      </c>
      <c r="B228" t="s">
        <v>17</v>
      </c>
      <c r="C228">
        <v>5.4</v>
      </c>
      <c r="D228" t="s">
        <v>22</v>
      </c>
      <c r="E228" t="s">
        <v>86</v>
      </c>
      <c r="F228" t="s">
        <v>13</v>
      </c>
      <c r="G228">
        <v>18</v>
      </c>
      <c r="H228" t="s">
        <v>115</v>
      </c>
      <c r="I228" t="s">
        <v>20</v>
      </c>
      <c r="J228" t="s">
        <v>320</v>
      </c>
      <c r="K228">
        <f>IF(tblPlacement[Placement_Status]="Placed",1,0)</f>
        <v>1</v>
      </c>
      <c r="L228" t="str">
        <f>IF(tblPlacement[CGPA]&gt;=9,"9+", IF(tblPlacement[CGPA]&gt;=8,"8-9",IF(tblPlacement[CGPA]&gt;=7,"7-8","Below 7")))</f>
        <v>Below 7</v>
      </c>
      <c r="M228" t="str">
        <f>IF(tblPlacement[Package_LPA]&gt;=15,"High",IF(tblPlacement[Package_LPA]&gt;=8,"Medium","Low"))</f>
        <v>High</v>
      </c>
      <c r="N228">
        <f>IF(tblPlacement[Internship]="Yes",1,0)</f>
        <v>0</v>
      </c>
    </row>
    <row r="229" spans="1:14" x14ac:dyDescent="0.3">
      <c r="A229" t="s">
        <v>321</v>
      </c>
      <c r="B229" t="s">
        <v>10</v>
      </c>
      <c r="C229">
        <v>6.1</v>
      </c>
      <c r="D229" t="s">
        <v>11</v>
      </c>
      <c r="E229" t="s">
        <v>110</v>
      </c>
      <c r="F229" t="s">
        <v>13</v>
      </c>
      <c r="G229">
        <v>15.2</v>
      </c>
      <c r="H229" t="s">
        <v>14</v>
      </c>
      <c r="I229" t="s">
        <v>15</v>
      </c>
      <c r="J229" t="s">
        <v>321</v>
      </c>
      <c r="K229">
        <f>IF(tblPlacement[Placement_Status]="Placed",1,0)</f>
        <v>1</v>
      </c>
      <c r="L229" t="str">
        <f>IF(tblPlacement[CGPA]&gt;=9,"9+", IF(tblPlacement[CGPA]&gt;=8,"8-9",IF(tblPlacement[CGPA]&gt;=7,"7-8","Below 7")))</f>
        <v>Below 7</v>
      </c>
      <c r="M229" t="str">
        <f>IF(tblPlacement[Package_LPA]&gt;=15,"High",IF(tblPlacement[Package_LPA]&gt;=8,"Medium","Low"))</f>
        <v>High</v>
      </c>
      <c r="N229">
        <f>IF(tblPlacement[Internship]="Yes",1,0)</f>
        <v>1</v>
      </c>
    </row>
    <row r="230" spans="1:14" x14ac:dyDescent="0.3">
      <c r="A230" t="s">
        <v>322</v>
      </c>
      <c r="B230" t="s">
        <v>30</v>
      </c>
      <c r="C230">
        <v>9.6</v>
      </c>
      <c r="D230" t="s">
        <v>11</v>
      </c>
      <c r="E230" t="s">
        <v>23</v>
      </c>
      <c r="F230" t="s">
        <v>13</v>
      </c>
      <c r="G230">
        <v>9.9</v>
      </c>
      <c r="H230" t="s">
        <v>61</v>
      </c>
      <c r="I230" t="s">
        <v>37</v>
      </c>
      <c r="J230" t="s">
        <v>322</v>
      </c>
      <c r="K230">
        <f>IF(tblPlacement[Placement_Status]="Placed",1,0)</f>
        <v>1</v>
      </c>
      <c r="L230" t="str">
        <f>IF(tblPlacement[CGPA]&gt;=9,"9+", IF(tblPlacement[CGPA]&gt;=8,"8-9",IF(tblPlacement[CGPA]&gt;=7,"7-8","Below 7")))</f>
        <v>9+</v>
      </c>
      <c r="M230" t="str">
        <f>IF(tblPlacement[Package_LPA]&gt;=15,"High",IF(tblPlacement[Package_LPA]&gt;=8,"Medium","Low"))</f>
        <v>Medium</v>
      </c>
      <c r="N230">
        <f>IF(tblPlacement[Internship]="Yes",1,0)</f>
        <v>1</v>
      </c>
    </row>
    <row r="231" spans="1:14" x14ac:dyDescent="0.3">
      <c r="A231" t="s">
        <v>323</v>
      </c>
      <c r="B231" t="s">
        <v>17</v>
      </c>
      <c r="C231">
        <v>5.8</v>
      </c>
      <c r="D231" t="s">
        <v>11</v>
      </c>
      <c r="E231" t="s">
        <v>39</v>
      </c>
      <c r="F231" t="s">
        <v>32</v>
      </c>
      <c r="G231">
        <v>0</v>
      </c>
      <c r="H231" t="s">
        <v>33</v>
      </c>
      <c r="I231" t="s">
        <v>33</v>
      </c>
      <c r="J231" t="s">
        <v>323</v>
      </c>
      <c r="K231">
        <f>IF(tblPlacement[Placement_Status]="Placed",1,0)</f>
        <v>0</v>
      </c>
      <c r="L231" t="str">
        <f>IF(tblPlacement[CGPA]&gt;=9,"9+", IF(tblPlacement[CGPA]&gt;=8,"8-9",IF(tblPlacement[CGPA]&gt;=7,"7-8","Below 7")))</f>
        <v>Below 7</v>
      </c>
      <c r="M231" t="str">
        <f>IF(tblPlacement[Package_LPA]&gt;=15,"High",IF(tblPlacement[Package_LPA]&gt;=8,"Medium","Low"))</f>
        <v>Low</v>
      </c>
      <c r="N231">
        <f>IF(tblPlacement[Internship]="Yes",1,0)</f>
        <v>1</v>
      </c>
    </row>
    <row r="232" spans="1:14" x14ac:dyDescent="0.3">
      <c r="A232" t="s">
        <v>324</v>
      </c>
      <c r="B232" t="s">
        <v>20</v>
      </c>
      <c r="C232">
        <v>7</v>
      </c>
      <c r="D232" t="s">
        <v>11</v>
      </c>
      <c r="E232" t="s">
        <v>86</v>
      </c>
      <c r="F232" t="s">
        <v>13</v>
      </c>
      <c r="G232">
        <v>10.199999999999999</v>
      </c>
      <c r="H232" t="s">
        <v>72</v>
      </c>
      <c r="I232" t="s">
        <v>20</v>
      </c>
      <c r="J232" t="s">
        <v>324</v>
      </c>
      <c r="K232">
        <f>IF(tblPlacement[Placement_Status]="Placed",1,0)</f>
        <v>1</v>
      </c>
      <c r="L232" t="str">
        <f>IF(tblPlacement[CGPA]&gt;=9,"9+", IF(tblPlacement[CGPA]&gt;=8,"8-9",IF(tblPlacement[CGPA]&gt;=7,"7-8","Below 7")))</f>
        <v>7-8</v>
      </c>
      <c r="M232" t="str">
        <f>IF(tblPlacement[Package_LPA]&gt;=15,"High",IF(tblPlacement[Package_LPA]&gt;=8,"Medium","Low"))</f>
        <v>Medium</v>
      </c>
      <c r="N232">
        <f>IF(tblPlacement[Internship]="Yes",1,0)</f>
        <v>1</v>
      </c>
    </row>
    <row r="233" spans="1:14" x14ac:dyDescent="0.3">
      <c r="A233" t="s">
        <v>325</v>
      </c>
      <c r="B233" t="s">
        <v>20</v>
      </c>
      <c r="C233">
        <v>7.7</v>
      </c>
      <c r="D233" t="s">
        <v>22</v>
      </c>
      <c r="E233" t="s">
        <v>23</v>
      </c>
      <c r="F233" t="s">
        <v>13</v>
      </c>
      <c r="G233">
        <v>9.8000000000000007</v>
      </c>
      <c r="H233" t="s">
        <v>47</v>
      </c>
      <c r="I233" t="s">
        <v>20</v>
      </c>
      <c r="J233" t="s">
        <v>325</v>
      </c>
      <c r="K233">
        <f>IF(tblPlacement[Placement_Status]="Placed",1,0)</f>
        <v>1</v>
      </c>
      <c r="L233" t="str">
        <f>IF(tblPlacement[CGPA]&gt;=9,"9+", IF(tblPlacement[CGPA]&gt;=8,"8-9",IF(tblPlacement[CGPA]&gt;=7,"7-8","Below 7")))</f>
        <v>7-8</v>
      </c>
      <c r="M233" t="str">
        <f>IF(tblPlacement[Package_LPA]&gt;=15,"High",IF(tblPlacement[Package_LPA]&gt;=8,"Medium","Low"))</f>
        <v>Medium</v>
      </c>
      <c r="N233">
        <f>IF(tblPlacement[Internship]="Yes",1,0)</f>
        <v>0</v>
      </c>
    </row>
    <row r="234" spans="1:14" x14ac:dyDescent="0.3">
      <c r="A234" t="s">
        <v>326</v>
      </c>
      <c r="B234" t="s">
        <v>131</v>
      </c>
      <c r="C234">
        <v>7.8</v>
      </c>
      <c r="D234" t="s">
        <v>11</v>
      </c>
      <c r="E234" t="s">
        <v>327</v>
      </c>
      <c r="F234" t="s">
        <v>13</v>
      </c>
      <c r="G234">
        <v>6.1</v>
      </c>
      <c r="H234" t="s">
        <v>47</v>
      </c>
      <c r="I234" t="s">
        <v>309</v>
      </c>
      <c r="J234" t="s">
        <v>326</v>
      </c>
      <c r="K234">
        <f>IF(tblPlacement[Placement_Status]="Placed",1,0)</f>
        <v>1</v>
      </c>
      <c r="L234" t="str">
        <f>IF(tblPlacement[CGPA]&gt;=9,"9+", IF(tblPlacement[CGPA]&gt;=8,"8-9",IF(tblPlacement[CGPA]&gt;=7,"7-8","Below 7")))</f>
        <v>7-8</v>
      </c>
      <c r="M234" t="str">
        <f>IF(tblPlacement[Package_LPA]&gt;=15,"High",IF(tblPlacement[Package_LPA]&gt;=8,"Medium","Low"))</f>
        <v>Low</v>
      </c>
      <c r="N234">
        <f>IF(tblPlacement[Internship]="Yes",1,0)</f>
        <v>1</v>
      </c>
    </row>
    <row r="235" spans="1:14" x14ac:dyDescent="0.3">
      <c r="A235" t="s">
        <v>328</v>
      </c>
      <c r="B235" t="s">
        <v>17</v>
      </c>
      <c r="C235">
        <v>6.7</v>
      </c>
      <c r="D235" t="s">
        <v>11</v>
      </c>
      <c r="E235" t="s">
        <v>76</v>
      </c>
      <c r="F235" t="s">
        <v>13</v>
      </c>
      <c r="G235">
        <v>17.8</v>
      </c>
      <c r="H235" t="s">
        <v>115</v>
      </c>
      <c r="I235" t="s">
        <v>20</v>
      </c>
      <c r="J235" t="s">
        <v>328</v>
      </c>
      <c r="K235">
        <f>IF(tblPlacement[Placement_Status]="Placed",1,0)</f>
        <v>1</v>
      </c>
      <c r="L235" t="str">
        <f>IF(tblPlacement[CGPA]&gt;=9,"9+", IF(tblPlacement[CGPA]&gt;=8,"8-9",IF(tblPlacement[CGPA]&gt;=7,"7-8","Below 7")))</f>
        <v>Below 7</v>
      </c>
      <c r="M235" t="str">
        <f>IF(tblPlacement[Package_LPA]&gt;=15,"High",IF(tblPlacement[Package_LPA]&gt;=8,"Medium","Low"))</f>
        <v>High</v>
      </c>
      <c r="N235">
        <f>IF(tblPlacement[Internship]="Yes",1,0)</f>
        <v>1</v>
      </c>
    </row>
    <row r="236" spans="1:14" x14ac:dyDescent="0.3">
      <c r="A236" t="s">
        <v>329</v>
      </c>
      <c r="B236" t="s">
        <v>20</v>
      </c>
      <c r="C236">
        <v>7</v>
      </c>
      <c r="D236" t="s">
        <v>22</v>
      </c>
      <c r="E236" t="s">
        <v>80</v>
      </c>
      <c r="F236" t="s">
        <v>32</v>
      </c>
      <c r="G236">
        <v>0</v>
      </c>
      <c r="H236" t="s">
        <v>33</v>
      </c>
      <c r="I236" t="s">
        <v>33</v>
      </c>
      <c r="J236" t="s">
        <v>329</v>
      </c>
      <c r="K236">
        <f>IF(tblPlacement[Placement_Status]="Placed",1,0)</f>
        <v>0</v>
      </c>
      <c r="L236" t="str">
        <f>IF(tblPlacement[CGPA]&gt;=9,"9+", IF(tblPlacement[CGPA]&gt;=8,"8-9",IF(tblPlacement[CGPA]&gt;=7,"7-8","Below 7")))</f>
        <v>7-8</v>
      </c>
      <c r="M236" t="str">
        <f>IF(tblPlacement[Package_LPA]&gt;=15,"High",IF(tblPlacement[Package_LPA]&gt;=8,"Medium","Low"))</f>
        <v>Low</v>
      </c>
      <c r="N236">
        <f>IF(tblPlacement[Internship]="Yes",1,0)</f>
        <v>0</v>
      </c>
    </row>
    <row r="237" spans="1:14" x14ac:dyDescent="0.3">
      <c r="A237" t="s">
        <v>330</v>
      </c>
      <c r="B237" t="s">
        <v>30</v>
      </c>
      <c r="C237">
        <v>7.5</v>
      </c>
      <c r="D237" t="s">
        <v>11</v>
      </c>
      <c r="E237" t="s">
        <v>31</v>
      </c>
      <c r="F237" t="s">
        <v>13</v>
      </c>
      <c r="G237">
        <v>17</v>
      </c>
      <c r="H237" t="s">
        <v>36</v>
      </c>
      <c r="I237" t="s">
        <v>37</v>
      </c>
      <c r="J237" t="s">
        <v>330</v>
      </c>
      <c r="K237">
        <f>IF(tblPlacement[Placement_Status]="Placed",1,0)</f>
        <v>1</v>
      </c>
      <c r="L237" t="str">
        <f>IF(tblPlacement[CGPA]&gt;=9,"9+", IF(tblPlacement[CGPA]&gt;=8,"8-9",IF(tblPlacement[CGPA]&gt;=7,"7-8","Below 7")))</f>
        <v>7-8</v>
      </c>
      <c r="M237" t="str">
        <f>IF(tblPlacement[Package_LPA]&gt;=15,"High",IF(tblPlacement[Package_LPA]&gt;=8,"Medium","Low"))</f>
        <v>High</v>
      </c>
      <c r="N237">
        <f>IF(tblPlacement[Internship]="Yes",1,0)</f>
        <v>1</v>
      </c>
    </row>
    <row r="238" spans="1:14" x14ac:dyDescent="0.3">
      <c r="A238" t="s">
        <v>331</v>
      </c>
      <c r="B238" t="s">
        <v>30</v>
      </c>
      <c r="C238">
        <v>8.9</v>
      </c>
      <c r="D238" t="s">
        <v>22</v>
      </c>
      <c r="E238" t="s">
        <v>285</v>
      </c>
      <c r="F238" t="s">
        <v>13</v>
      </c>
      <c r="G238">
        <v>15.3</v>
      </c>
      <c r="H238" t="s">
        <v>19</v>
      </c>
      <c r="I238" t="s">
        <v>20</v>
      </c>
      <c r="J238" t="s">
        <v>331</v>
      </c>
      <c r="K238">
        <f>IF(tblPlacement[Placement_Status]="Placed",1,0)</f>
        <v>1</v>
      </c>
      <c r="L238" t="str">
        <f>IF(tblPlacement[CGPA]&gt;=9,"9+", IF(tblPlacement[CGPA]&gt;=8,"8-9",IF(tblPlacement[CGPA]&gt;=7,"7-8","Below 7")))</f>
        <v>8-9</v>
      </c>
      <c r="M238" t="str">
        <f>IF(tblPlacement[Package_LPA]&gt;=15,"High",IF(tblPlacement[Package_LPA]&gt;=8,"Medium","Low"))</f>
        <v>High</v>
      </c>
      <c r="N238">
        <f>IF(tblPlacement[Internship]="Yes",1,0)</f>
        <v>0</v>
      </c>
    </row>
    <row r="239" spans="1:14" x14ac:dyDescent="0.3">
      <c r="A239" t="s">
        <v>332</v>
      </c>
      <c r="B239" t="s">
        <v>30</v>
      </c>
      <c r="C239">
        <v>6</v>
      </c>
      <c r="D239" t="s">
        <v>22</v>
      </c>
      <c r="E239" t="s">
        <v>141</v>
      </c>
      <c r="F239" t="s">
        <v>13</v>
      </c>
      <c r="G239">
        <v>6.3</v>
      </c>
      <c r="H239" t="s">
        <v>36</v>
      </c>
      <c r="I239" t="s">
        <v>37</v>
      </c>
      <c r="J239" t="s">
        <v>332</v>
      </c>
      <c r="K239">
        <f>IF(tblPlacement[Placement_Status]="Placed",1,0)</f>
        <v>1</v>
      </c>
      <c r="L239" t="str">
        <f>IF(tblPlacement[CGPA]&gt;=9,"9+", IF(tblPlacement[CGPA]&gt;=8,"8-9",IF(tblPlacement[CGPA]&gt;=7,"7-8","Below 7")))</f>
        <v>Below 7</v>
      </c>
      <c r="M239" t="str">
        <f>IF(tblPlacement[Package_LPA]&gt;=15,"High",IF(tblPlacement[Package_LPA]&gt;=8,"Medium","Low"))</f>
        <v>Low</v>
      </c>
      <c r="N239">
        <f>IF(tblPlacement[Internship]="Yes",1,0)</f>
        <v>0</v>
      </c>
    </row>
    <row r="240" spans="1:14" x14ac:dyDescent="0.3">
      <c r="A240" t="s">
        <v>333</v>
      </c>
      <c r="B240" t="s">
        <v>20</v>
      </c>
      <c r="C240">
        <v>7.1</v>
      </c>
      <c r="D240" t="s">
        <v>11</v>
      </c>
      <c r="E240" t="s">
        <v>86</v>
      </c>
      <c r="F240" t="s">
        <v>13</v>
      </c>
      <c r="G240">
        <v>15.2</v>
      </c>
      <c r="H240" t="s">
        <v>51</v>
      </c>
      <c r="I240" t="s">
        <v>20</v>
      </c>
      <c r="J240" t="s">
        <v>333</v>
      </c>
      <c r="K240">
        <f>IF(tblPlacement[Placement_Status]="Placed",1,0)</f>
        <v>1</v>
      </c>
      <c r="L240" t="str">
        <f>IF(tblPlacement[CGPA]&gt;=9,"9+", IF(tblPlacement[CGPA]&gt;=8,"8-9",IF(tblPlacement[CGPA]&gt;=7,"7-8","Below 7")))</f>
        <v>7-8</v>
      </c>
      <c r="M240" t="str">
        <f>IF(tblPlacement[Package_LPA]&gt;=15,"High",IF(tblPlacement[Package_LPA]&gt;=8,"Medium","Low"))</f>
        <v>High</v>
      </c>
      <c r="N240">
        <f>IF(tblPlacement[Internship]="Yes",1,0)</f>
        <v>1</v>
      </c>
    </row>
    <row r="241" spans="1:14" x14ac:dyDescent="0.3">
      <c r="A241" t="s">
        <v>334</v>
      </c>
      <c r="B241" t="s">
        <v>30</v>
      </c>
      <c r="C241">
        <v>7.8</v>
      </c>
      <c r="D241" t="s">
        <v>22</v>
      </c>
      <c r="E241" t="s">
        <v>335</v>
      </c>
      <c r="F241" t="s">
        <v>32</v>
      </c>
      <c r="G241">
        <v>0</v>
      </c>
      <c r="H241" t="s">
        <v>33</v>
      </c>
      <c r="I241" t="s">
        <v>33</v>
      </c>
      <c r="J241" t="s">
        <v>334</v>
      </c>
      <c r="K241">
        <f>IF(tblPlacement[Placement_Status]="Placed",1,0)</f>
        <v>0</v>
      </c>
      <c r="L241" t="str">
        <f>IF(tblPlacement[CGPA]&gt;=9,"9+", IF(tblPlacement[CGPA]&gt;=8,"8-9",IF(tblPlacement[CGPA]&gt;=7,"7-8","Below 7")))</f>
        <v>7-8</v>
      </c>
      <c r="M241" t="str">
        <f>IF(tblPlacement[Package_LPA]&gt;=15,"High",IF(tblPlacement[Package_LPA]&gt;=8,"Medium","Low"))</f>
        <v>Low</v>
      </c>
      <c r="N241">
        <f>IF(tblPlacement[Internship]="Yes",1,0)</f>
        <v>0</v>
      </c>
    </row>
    <row r="242" spans="1:14" x14ac:dyDescent="0.3">
      <c r="A242" t="s">
        <v>336</v>
      </c>
      <c r="B242" t="s">
        <v>20</v>
      </c>
      <c r="C242">
        <v>6</v>
      </c>
      <c r="D242" t="s">
        <v>22</v>
      </c>
      <c r="E242" t="s">
        <v>46</v>
      </c>
      <c r="F242" t="s">
        <v>32</v>
      </c>
      <c r="G242">
        <v>0</v>
      </c>
      <c r="H242" t="s">
        <v>33</v>
      </c>
      <c r="I242" t="s">
        <v>33</v>
      </c>
      <c r="J242" t="s">
        <v>336</v>
      </c>
      <c r="K242">
        <f>IF(tblPlacement[Placement_Status]="Placed",1,0)</f>
        <v>0</v>
      </c>
      <c r="L242" t="str">
        <f>IF(tblPlacement[CGPA]&gt;=9,"9+", IF(tblPlacement[CGPA]&gt;=8,"8-9",IF(tblPlacement[CGPA]&gt;=7,"7-8","Below 7")))</f>
        <v>Below 7</v>
      </c>
      <c r="M242" t="str">
        <f>IF(tblPlacement[Package_LPA]&gt;=15,"High",IF(tblPlacement[Package_LPA]&gt;=8,"Medium","Low"))</f>
        <v>Low</v>
      </c>
      <c r="N242">
        <f>IF(tblPlacement[Internship]="Yes",1,0)</f>
        <v>0</v>
      </c>
    </row>
    <row r="243" spans="1:14" x14ac:dyDescent="0.3">
      <c r="A243" t="s">
        <v>337</v>
      </c>
      <c r="B243" t="s">
        <v>10</v>
      </c>
      <c r="C243">
        <v>9.1999999999999993</v>
      </c>
      <c r="D243" t="s">
        <v>22</v>
      </c>
      <c r="E243" t="s">
        <v>49</v>
      </c>
      <c r="F243" t="s">
        <v>13</v>
      </c>
      <c r="G243">
        <v>12.3</v>
      </c>
      <c r="H243" t="s">
        <v>24</v>
      </c>
      <c r="I243" t="s">
        <v>20</v>
      </c>
      <c r="J243" t="s">
        <v>337</v>
      </c>
      <c r="K243">
        <f>IF(tblPlacement[Placement_Status]="Placed",1,0)</f>
        <v>1</v>
      </c>
      <c r="L243" t="str">
        <f>IF(tblPlacement[CGPA]&gt;=9,"9+", IF(tblPlacement[CGPA]&gt;=8,"8-9",IF(tblPlacement[CGPA]&gt;=7,"7-8","Below 7")))</f>
        <v>9+</v>
      </c>
      <c r="M243" t="str">
        <f>IF(tblPlacement[Package_LPA]&gt;=15,"High",IF(tblPlacement[Package_LPA]&gt;=8,"Medium","Low"))</f>
        <v>Medium</v>
      </c>
      <c r="N243">
        <f>IF(tblPlacement[Internship]="Yes",1,0)</f>
        <v>0</v>
      </c>
    </row>
    <row r="244" spans="1:14" x14ac:dyDescent="0.3">
      <c r="A244" t="s">
        <v>338</v>
      </c>
      <c r="B244" t="s">
        <v>17</v>
      </c>
      <c r="C244">
        <v>9.6999999999999993</v>
      </c>
      <c r="D244" t="s">
        <v>11</v>
      </c>
      <c r="E244" t="s">
        <v>80</v>
      </c>
      <c r="F244" t="s">
        <v>13</v>
      </c>
      <c r="G244">
        <v>14.4</v>
      </c>
      <c r="H244" t="s">
        <v>115</v>
      </c>
      <c r="I244" t="s">
        <v>20</v>
      </c>
      <c r="J244" t="s">
        <v>338</v>
      </c>
      <c r="K244">
        <f>IF(tblPlacement[Placement_Status]="Placed",1,0)</f>
        <v>1</v>
      </c>
      <c r="L244" t="str">
        <f>IF(tblPlacement[CGPA]&gt;=9,"9+", IF(tblPlacement[CGPA]&gt;=8,"8-9",IF(tblPlacement[CGPA]&gt;=7,"7-8","Below 7")))</f>
        <v>9+</v>
      </c>
      <c r="M244" t="str">
        <f>IF(tblPlacement[Package_LPA]&gt;=15,"High",IF(tblPlacement[Package_LPA]&gt;=8,"Medium","Low"))</f>
        <v>Medium</v>
      </c>
      <c r="N244">
        <f>IF(tblPlacement[Internship]="Yes",1,0)</f>
        <v>1</v>
      </c>
    </row>
    <row r="245" spans="1:14" x14ac:dyDescent="0.3">
      <c r="A245" t="s">
        <v>339</v>
      </c>
      <c r="B245" t="s">
        <v>26</v>
      </c>
      <c r="C245">
        <v>8.5</v>
      </c>
      <c r="D245" t="s">
        <v>11</v>
      </c>
      <c r="E245" t="s">
        <v>138</v>
      </c>
      <c r="F245" t="s">
        <v>32</v>
      </c>
      <c r="G245">
        <v>0</v>
      </c>
      <c r="H245" t="s">
        <v>33</v>
      </c>
      <c r="I245" t="s">
        <v>33</v>
      </c>
      <c r="J245" t="s">
        <v>339</v>
      </c>
      <c r="K245">
        <f>IF(tblPlacement[Placement_Status]="Placed",1,0)</f>
        <v>0</v>
      </c>
      <c r="L245" t="str">
        <f>IF(tblPlacement[CGPA]&gt;=9,"9+", IF(tblPlacement[CGPA]&gt;=8,"8-9",IF(tblPlacement[CGPA]&gt;=7,"7-8","Below 7")))</f>
        <v>8-9</v>
      </c>
      <c r="M245" t="str">
        <f>IF(tblPlacement[Package_LPA]&gt;=15,"High",IF(tblPlacement[Package_LPA]&gt;=8,"Medium","Low"))</f>
        <v>Low</v>
      </c>
      <c r="N245">
        <f>IF(tblPlacement[Internship]="Yes",1,0)</f>
        <v>1</v>
      </c>
    </row>
    <row r="246" spans="1:14" x14ac:dyDescent="0.3">
      <c r="A246" t="s">
        <v>340</v>
      </c>
      <c r="B246" t="s">
        <v>20</v>
      </c>
      <c r="C246">
        <v>6.8</v>
      </c>
      <c r="D246" t="s">
        <v>22</v>
      </c>
      <c r="E246" t="s">
        <v>39</v>
      </c>
      <c r="F246" t="s">
        <v>13</v>
      </c>
      <c r="G246">
        <v>9.1</v>
      </c>
      <c r="H246" t="s">
        <v>72</v>
      </c>
      <c r="I246" t="s">
        <v>20</v>
      </c>
      <c r="J246" t="s">
        <v>340</v>
      </c>
      <c r="K246">
        <f>IF(tblPlacement[Placement_Status]="Placed",1,0)</f>
        <v>1</v>
      </c>
      <c r="L246" t="str">
        <f>IF(tblPlacement[CGPA]&gt;=9,"9+", IF(tblPlacement[CGPA]&gt;=8,"8-9",IF(tblPlacement[CGPA]&gt;=7,"7-8","Below 7")))</f>
        <v>Below 7</v>
      </c>
      <c r="M246" t="str">
        <f>IF(tblPlacement[Package_LPA]&gt;=15,"High",IF(tblPlacement[Package_LPA]&gt;=8,"Medium","Low"))</f>
        <v>Medium</v>
      </c>
      <c r="N246">
        <f>IF(tblPlacement[Internship]="Yes",1,0)</f>
        <v>0</v>
      </c>
    </row>
    <row r="247" spans="1:14" x14ac:dyDescent="0.3">
      <c r="A247" t="s">
        <v>341</v>
      </c>
      <c r="B247" t="s">
        <v>20</v>
      </c>
      <c r="C247">
        <v>6.4</v>
      </c>
      <c r="D247" t="s">
        <v>11</v>
      </c>
      <c r="E247" t="s">
        <v>86</v>
      </c>
      <c r="F247" t="s">
        <v>32</v>
      </c>
      <c r="G247">
        <v>0</v>
      </c>
      <c r="H247" t="s">
        <v>33</v>
      </c>
      <c r="I247" t="s">
        <v>33</v>
      </c>
      <c r="J247" t="s">
        <v>341</v>
      </c>
      <c r="K247">
        <f>IF(tblPlacement[Placement_Status]="Placed",1,0)</f>
        <v>0</v>
      </c>
      <c r="L247" t="str">
        <f>IF(tblPlacement[CGPA]&gt;=9,"9+", IF(tblPlacement[CGPA]&gt;=8,"8-9",IF(tblPlacement[CGPA]&gt;=7,"7-8","Below 7")))</f>
        <v>Below 7</v>
      </c>
      <c r="M247" t="str">
        <f>IF(tblPlacement[Package_LPA]&gt;=15,"High",IF(tblPlacement[Package_LPA]&gt;=8,"Medium","Low"))</f>
        <v>Low</v>
      </c>
      <c r="N247">
        <f>IF(tblPlacement[Internship]="Yes",1,0)</f>
        <v>1</v>
      </c>
    </row>
    <row r="248" spans="1:14" x14ac:dyDescent="0.3">
      <c r="A248" t="s">
        <v>342</v>
      </c>
      <c r="B248" t="s">
        <v>17</v>
      </c>
      <c r="C248">
        <v>7.8</v>
      </c>
      <c r="D248" t="s">
        <v>11</v>
      </c>
      <c r="E248" t="s">
        <v>46</v>
      </c>
      <c r="F248" t="s">
        <v>13</v>
      </c>
      <c r="G248">
        <v>4.8</v>
      </c>
      <c r="H248" t="s">
        <v>19</v>
      </c>
      <c r="I248" t="s">
        <v>20</v>
      </c>
      <c r="J248" t="s">
        <v>342</v>
      </c>
      <c r="K248">
        <f>IF(tblPlacement[Placement_Status]="Placed",1,0)</f>
        <v>1</v>
      </c>
      <c r="L248" t="str">
        <f>IF(tblPlacement[CGPA]&gt;=9,"9+", IF(tblPlacement[CGPA]&gt;=8,"8-9",IF(tblPlacement[CGPA]&gt;=7,"7-8","Below 7")))</f>
        <v>7-8</v>
      </c>
      <c r="M248" t="str">
        <f>IF(tblPlacement[Package_LPA]&gt;=15,"High",IF(tblPlacement[Package_LPA]&gt;=8,"Medium","Low"))</f>
        <v>Low</v>
      </c>
      <c r="N248">
        <f>IF(tblPlacement[Internship]="Yes",1,0)</f>
        <v>1</v>
      </c>
    </row>
    <row r="249" spans="1:14" x14ac:dyDescent="0.3">
      <c r="A249" t="s">
        <v>343</v>
      </c>
      <c r="B249" t="s">
        <v>26</v>
      </c>
      <c r="C249">
        <v>6.2</v>
      </c>
      <c r="D249" t="s">
        <v>11</v>
      </c>
      <c r="E249" t="s">
        <v>27</v>
      </c>
      <c r="F249" t="s">
        <v>13</v>
      </c>
      <c r="G249">
        <v>3.8</v>
      </c>
      <c r="H249" t="s">
        <v>344</v>
      </c>
      <c r="I249" t="s">
        <v>26</v>
      </c>
      <c r="J249" t="s">
        <v>343</v>
      </c>
      <c r="K249">
        <f>IF(tblPlacement[Placement_Status]="Placed",1,0)</f>
        <v>1</v>
      </c>
      <c r="L249" t="str">
        <f>IF(tblPlacement[CGPA]&gt;=9,"9+", IF(tblPlacement[CGPA]&gt;=8,"8-9",IF(tblPlacement[CGPA]&gt;=7,"7-8","Below 7")))</f>
        <v>Below 7</v>
      </c>
      <c r="M249" t="str">
        <f>IF(tblPlacement[Package_LPA]&gt;=15,"High",IF(tblPlacement[Package_LPA]&gt;=8,"Medium","Low"))</f>
        <v>Low</v>
      </c>
      <c r="N249">
        <f>IF(tblPlacement[Internship]="Yes",1,0)</f>
        <v>1</v>
      </c>
    </row>
    <row r="250" spans="1:14" x14ac:dyDescent="0.3">
      <c r="A250" t="s">
        <v>345</v>
      </c>
      <c r="B250" t="s">
        <v>30</v>
      </c>
      <c r="C250">
        <v>9.5</v>
      </c>
      <c r="D250" t="s">
        <v>11</v>
      </c>
      <c r="E250" t="s">
        <v>335</v>
      </c>
      <c r="F250" t="s">
        <v>13</v>
      </c>
      <c r="G250">
        <v>11.2</v>
      </c>
      <c r="H250" t="s">
        <v>56</v>
      </c>
      <c r="I250" t="s">
        <v>37</v>
      </c>
      <c r="J250" t="s">
        <v>345</v>
      </c>
      <c r="K250">
        <f>IF(tblPlacement[Placement_Status]="Placed",1,0)</f>
        <v>1</v>
      </c>
      <c r="L250" t="str">
        <f>IF(tblPlacement[CGPA]&gt;=9,"9+", IF(tblPlacement[CGPA]&gt;=8,"8-9",IF(tblPlacement[CGPA]&gt;=7,"7-8","Below 7")))</f>
        <v>9+</v>
      </c>
      <c r="M250" t="str">
        <f>IF(tblPlacement[Package_LPA]&gt;=15,"High",IF(tblPlacement[Package_LPA]&gt;=8,"Medium","Low"))</f>
        <v>Medium</v>
      </c>
      <c r="N250">
        <f>IF(tblPlacement[Internship]="Yes",1,0)</f>
        <v>1</v>
      </c>
    </row>
    <row r="251" spans="1:14" x14ac:dyDescent="0.3">
      <c r="A251" t="s">
        <v>346</v>
      </c>
      <c r="B251" t="s">
        <v>26</v>
      </c>
      <c r="C251">
        <v>5.6</v>
      </c>
      <c r="D251" t="s">
        <v>11</v>
      </c>
      <c r="E251" t="s">
        <v>44</v>
      </c>
      <c r="F251" t="s">
        <v>32</v>
      </c>
      <c r="G251">
        <v>0</v>
      </c>
      <c r="H251" t="s">
        <v>33</v>
      </c>
      <c r="I251" t="s">
        <v>33</v>
      </c>
      <c r="J251" t="s">
        <v>346</v>
      </c>
      <c r="K251">
        <f>IF(tblPlacement[Placement_Status]="Placed",1,0)</f>
        <v>0</v>
      </c>
      <c r="L251" t="str">
        <f>IF(tblPlacement[CGPA]&gt;=9,"9+", IF(tblPlacement[CGPA]&gt;=8,"8-9",IF(tblPlacement[CGPA]&gt;=7,"7-8","Below 7")))</f>
        <v>Below 7</v>
      </c>
      <c r="M251" t="str">
        <f>IF(tblPlacement[Package_LPA]&gt;=15,"High",IF(tblPlacement[Package_LPA]&gt;=8,"Medium","Low"))</f>
        <v>Low</v>
      </c>
      <c r="N251">
        <f>IF(tblPlacement[Internship]="Yes",1,0)</f>
        <v>1</v>
      </c>
    </row>
    <row r="252" spans="1:14" x14ac:dyDescent="0.3">
      <c r="A252" t="s">
        <v>347</v>
      </c>
      <c r="B252" t="s">
        <v>17</v>
      </c>
      <c r="C252">
        <v>9.3000000000000007</v>
      </c>
      <c r="D252" t="s">
        <v>11</v>
      </c>
      <c r="E252" t="s">
        <v>18</v>
      </c>
      <c r="F252" t="s">
        <v>32</v>
      </c>
      <c r="G252">
        <v>0</v>
      </c>
      <c r="H252" t="s">
        <v>33</v>
      </c>
      <c r="I252" t="s">
        <v>33</v>
      </c>
      <c r="J252" t="s">
        <v>347</v>
      </c>
      <c r="K252">
        <f>IF(tblPlacement[Placement_Status]="Placed",1,0)</f>
        <v>0</v>
      </c>
      <c r="L252" t="str">
        <f>IF(tblPlacement[CGPA]&gt;=9,"9+", IF(tblPlacement[CGPA]&gt;=8,"8-9",IF(tblPlacement[CGPA]&gt;=7,"7-8","Below 7")))</f>
        <v>9+</v>
      </c>
      <c r="M252" t="str">
        <f>IF(tblPlacement[Package_LPA]&gt;=15,"High",IF(tblPlacement[Package_LPA]&gt;=8,"Medium","Low"))</f>
        <v>Low</v>
      </c>
      <c r="N252">
        <f>IF(tblPlacement[Internship]="Yes",1,0)</f>
        <v>1</v>
      </c>
    </row>
    <row r="253" spans="1:14" x14ac:dyDescent="0.3">
      <c r="A253" t="s">
        <v>348</v>
      </c>
      <c r="B253" t="s">
        <v>20</v>
      </c>
      <c r="C253">
        <v>7.5</v>
      </c>
      <c r="D253" t="s">
        <v>22</v>
      </c>
      <c r="E253" t="s">
        <v>80</v>
      </c>
      <c r="F253" t="s">
        <v>32</v>
      </c>
      <c r="G253">
        <v>0</v>
      </c>
      <c r="H253" t="s">
        <v>33</v>
      </c>
      <c r="I253" t="s">
        <v>33</v>
      </c>
      <c r="J253" t="s">
        <v>348</v>
      </c>
      <c r="K253">
        <f>IF(tblPlacement[Placement_Status]="Placed",1,0)</f>
        <v>0</v>
      </c>
      <c r="L253" t="str">
        <f>IF(tblPlacement[CGPA]&gt;=9,"9+", IF(tblPlacement[CGPA]&gt;=8,"8-9",IF(tblPlacement[CGPA]&gt;=7,"7-8","Below 7")))</f>
        <v>7-8</v>
      </c>
      <c r="M253" t="str">
        <f>IF(tblPlacement[Package_LPA]&gt;=15,"High",IF(tblPlacement[Package_LPA]&gt;=8,"Medium","Low"))</f>
        <v>Low</v>
      </c>
      <c r="N253">
        <f>IF(tblPlacement[Internship]="Yes",1,0)</f>
        <v>0</v>
      </c>
    </row>
    <row r="254" spans="1:14" x14ac:dyDescent="0.3">
      <c r="A254" t="s">
        <v>349</v>
      </c>
      <c r="B254" t="s">
        <v>17</v>
      </c>
      <c r="C254">
        <v>7.8</v>
      </c>
      <c r="D254" t="s">
        <v>11</v>
      </c>
      <c r="E254" t="s">
        <v>39</v>
      </c>
      <c r="F254" t="s">
        <v>13</v>
      </c>
      <c r="G254">
        <v>17.899999999999999</v>
      </c>
      <c r="H254" t="s">
        <v>67</v>
      </c>
      <c r="I254" t="s">
        <v>20</v>
      </c>
      <c r="J254" t="s">
        <v>349</v>
      </c>
      <c r="K254">
        <f>IF(tblPlacement[Placement_Status]="Placed",1,0)</f>
        <v>1</v>
      </c>
      <c r="L254" t="str">
        <f>IF(tblPlacement[CGPA]&gt;=9,"9+", IF(tblPlacement[CGPA]&gt;=8,"8-9",IF(tblPlacement[CGPA]&gt;=7,"7-8","Below 7")))</f>
        <v>7-8</v>
      </c>
      <c r="M254" t="str">
        <f>IF(tblPlacement[Package_LPA]&gt;=15,"High",IF(tblPlacement[Package_LPA]&gt;=8,"Medium","Low"))</f>
        <v>High</v>
      </c>
      <c r="N254">
        <f>IF(tblPlacement[Internship]="Yes",1,0)</f>
        <v>1</v>
      </c>
    </row>
    <row r="255" spans="1:14" x14ac:dyDescent="0.3">
      <c r="A255" t="s">
        <v>350</v>
      </c>
      <c r="B255" t="s">
        <v>30</v>
      </c>
      <c r="C255">
        <v>6.1</v>
      </c>
      <c r="D255" t="s">
        <v>11</v>
      </c>
      <c r="E255" t="s">
        <v>60</v>
      </c>
      <c r="F255" t="s">
        <v>32</v>
      </c>
      <c r="G255">
        <v>0</v>
      </c>
      <c r="H255" t="s">
        <v>33</v>
      </c>
      <c r="I255" t="s">
        <v>33</v>
      </c>
      <c r="J255" t="s">
        <v>350</v>
      </c>
      <c r="K255">
        <f>IF(tblPlacement[Placement_Status]="Placed",1,0)</f>
        <v>0</v>
      </c>
      <c r="L255" t="str">
        <f>IF(tblPlacement[CGPA]&gt;=9,"9+", IF(tblPlacement[CGPA]&gt;=8,"8-9",IF(tblPlacement[CGPA]&gt;=7,"7-8","Below 7")))</f>
        <v>Below 7</v>
      </c>
      <c r="M255" t="str">
        <f>IF(tblPlacement[Package_LPA]&gt;=15,"High",IF(tblPlacement[Package_LPA]&gt;=8,"Medium","Low"))</f>
        <v>Low</v>
      </c>
      <c r="N255">
        <f>IF(tblPlacement[Internship]="Yes",1,0)</f>
        <v>1</v>
      </c>
    </row>
    <row r="256" spans="1:14" x14ac:dyDescent="0.3">
      <c r="A256" t="s">
        <v>351</v>
      </c>
      <c r="B256" t="s">
        <v>10</v>
      </c>
      <c r="C256">
        <v>8.5</v>
      </c>
      <c r="D256" t="s">
        <v>11</v>
      </c>
      <c r="E256" t="s">
        <v>18</v>
      </c>
      <c r="F256" t="s">
        <v>13</v>
      </c>
      <c r="G256">
        <v>15.5</v>
      </c>
      <c r="H256" t="s">
        <v>352</v>
      </c>
      <c r="I256" t="s">
        <v>15</v>
      </c>
      <c r="J256" t="s">
        <v>351</v>
      </c>
      <c r="K256">
        <f>IF(tblPlacement[Placement_Status]="Placed",1,0)</f>
        <v>1</v>
      </c>
      <c r="L256" t="str">
        <f>IF(tblPlacement[CGPA]&gt;=9,"9+", IF(tblPlacement[CGPA]&gt;=8,"8-9",IF(tblPlacement[CGPA]&gt;=7,"7-8","Below 7")))</f>
        <v>8-9</v>
      </c>
      <c r="M256" t="str">
        <f>IF(tblPlacement[Package_LPA]&gt;=15,"High",IF(tblPlacement[Package_LPA]&gt;=8,"Medium","Low"))</f>
        <v>High</v>
      </c>
      <c r="N256">
        <f>IF(tblPlacement[Internship]="Yes",1,0)</f>
        <v>1</v>
      </c>
    </row>
    <row r="257" spans="1:14" x14ac:dyDescent="0.3">
      <c r="A257" t="s">
        <v>353</v>
      </c>
      <c r="B257" t="s">
        <v>30</v>
      </c>
      <c r="C257">
        <v>5.6</v>
      </c>
      <c r="D257" t="s">
        <v>22</v>
      </c>
      <c r="E257" t="s">
        <v>60</v>
      </c>
      <c r="F257" t="s">
        <v>32</v>
      </c>
      <c r="G257">
        <v>0</v>
      </c>
      <c r="H257" t="s">
        <v>33</v>
      </c>
      <c r="I257" t="s">
        <v>33</v>
      </c>
      <c r="J257" t="s">
        <v>353</v>
      </c>
      <c r="K257">
        <f>IF(tblPlacement[Placement_Status]="Placed",1,0)</f>
        <v>0</v>
      </c>
      <c r="L257" t="str">
        <f>IF(tblPlacement[CGPA]&gt;=9,"9+", IF(tblPlacement[CGPA]&gt;=8,"8-9",IF(tblPlacement[CGPA]&gt;=7,"7-8","Below 7")))</f>
        <v>Below 7</v>
      </c>
      <c r="M257" t="str">
        <f>IF(tblPlacement[Package_LPA]&gt;=15,"High",IF(tblPlacement[Package_LPA]&gt;=8,"Medium","Low"))</f>
        <v>Low</v>
      </c>
      <c r="N257">
        <f>IF(tblPlacement[Internship]="Yes",1,0)</f>
        <v>0</v>
      </c>
    </row>
    <row r="258" spans="1:14" x14ac:dyDescent="0.3">
      <c r="A258" t="s">
        <v>354</v>
      </c>
      <c r="B258" t="s">
        <v>30</v>
      </c>
      <c r="C258">
        <v>9.5</v>
      </c>
      <c r="D258" t="s">
        <v>11</v>
      </c>
      <c r="E258" t="s">
        <v>141</v>
      </c>
      <c r="F258" t="s">
        <v>13</v>
      </c>
      <c r="G258">
        <v>15.3</v>
      </c>
      <c r="H258" t="s">
        <v>24</v>
      </c>
      <c r="I258" t="s">
        <v>20</v>
      </c>
      <c r="J258" t="s">
        <v>354</v>
      </c>
      <c r="K258">
        <f>IF(tblPlacement[Placement_Status]="Placed",1,0)</f>
        <v>1</v>
      </c>
      <c r="L258" t="str">
        <f>IF(tblPlacement[CGPA]&gt;=9,"9+", IF(tblPlacement[CGPA]&gt;=8,"8-9",IF(tblPlacement[CGPA]&gt;=7,"7-8","Below 7")))</f>
        <v>9+</v>
      </c>
      <c r="M258" t="str">
        <f>IF(tblPlacement[Package_LPA]&gt;=15,"High",IF(tblPlacement[Package_LPA]&gt;=8,"Medium","Low"))</f>
        <v>High</v>
      </c>
      <c r="N258">
        <f>IF(tblPlacement[Internship]="Yes",1,0)</f>
        <v>1</v>
      </c>
    </row>
    <row r="259" spans="1:14" x14ac:dyDescent="0.3">
      <c r="A259" t="s">
        <v>355</v>
      </c>
      <c r="B259" t="s">
        <v>17</v>
      </c>
      <c r="C259">
        <v>6.9</v>
      </c>
      <c r="D259" t="s">
        <v>11</v>
      </c>
      <c r="E259" t="s">
        <v>46</v>
      </c>
      <c r="F259" t="s">
        <v>13</v>
      </c>
      <c r="G259">
        <v>14.1</v>
      </c>
      <c r="H259" t="s">
        <v>47</v>
      </c>
      <c r="I259" t="s">
        <v>20</v>
      </c>
      <c r="J259" t="s">
        <v>355</v>
      </c>
      <c r="K259">
        <f>IF(tblPlacement[Placement_Status]="Placed",1,0)</f>
        <v>1</v>
      </c>
      <c r="L259" t="str">
        <f>IF(tblPlacement[CGPA]&gt;=9,"9+", IF(tblPlacement[CGPA]&gt;=8,"8-9",IF(tblPlacement[CGPA]&gt;=7,"7-8","Below 7")))</f>
        <v>Below 7</v>
      </c>
      <c r="M259" t="str">
        <f>IF(tblPlacement[Package_LPA]&gt;=15,"High",IF(tblPlacement[Package_LPA]&gt;=8,"Medium","Low"))</f>
        <v>Medium</v>
      </c>
      <c r="N259">
        <f>IF(tblPlacement[Internship]="Yes",1,0)</f>
        <v>1</v>
      </c>
    </row>
    <row r="260" spans="1:14" x14ac:dyDescent="0.3">
      <c r="A260" t="s">
        <v>356</v>
      </c>
      <c r="B260" t="s">
        <v>26</v>
      </c>
      <c r="C260">
        <v>9.3000000000000007</v>
      </c>
      <c r="D260" t="s">
        <v>22</v>
      </c>
      <c r="E260" t="s">
        <v>27</v>
      </c>
      <c r="F260" t="s">
        <v>32</v>
      </c>
      <c r="G260">
        <v>0</v>
      </c>
      <c r="H260" t="s">
        <v>33</v>
      </c>
      <c r="I260" t="s">
        <v>33</v>
      </c>
      <c r="J260" t="s">
        <v>356</v>
      </c>
      <c r="K260">
        <f>IF(tblPlacement[Placement_Status]="Placed",1,0)</f>
        <v>0</v>
      </c>
      <c r="L260" t="str">
        <f>IF(tblPlacement[CGPA]&gt;=9,"9+", IF(tblPlacement[CGPA]&gt;=8,"8-9",IF(tblPlacement[CGPA]&gt;=7,"7-8","Below 7")))</f>
        <v>9+</v>
      </c>
      <c r="M260" t="str">
        <f>IF(tblPlacement[Package_LPA]&gt;=15,"High",IF(tblPlacement[Package_LPA]&gt;=8,"Medium","Low"))</f>
        <v>Low</v>
      </c>
      <c r="N260">
        <f>IF(tblPlacement[Internship]="Yes",1,0)</f>
        <v>0</v>
      </c>
    </row>
    <row r="261" spans="1:14" x14ac:dyDescent="0.3">
      <c r="A261" t="s">
        <v>357</v>
      </c>
      <c r="B261" t="s">
        <v>26</v>
      </c>
      <c r="C261">
        <v>6.9</v>
      </c>
      <c r="D261" t="s">
        <v>11</v>
      </c>
      <c r="E261" t="s">
        <v>97</v>
      </c>
      <c r="F261" t="s">
        <v>13</v>
      </c>
      <c r="G261">
        <v>8.8000000000000007</v>
      </c>
      <c r="H261" t="s">
        <v>358</v>
      </c>
      <c r="I261" t="s">
        <v>65</v>
      </c>
      <c r="J261" t="s">
        <v>357</v>
      </c>
      <c r="K261">
        <f>IF(tblPlacement[Placement_Status]="Placed",1,0)</f>
        <v>1</v>
      </c>
      <c r="L261" t="str">
        <f>IF(tblPlacement[CGPA]&gt;=9,"9+", IF(tblPlacement[CGPA]&gt;=8,"8-9",IF(tblPlacement[CGPA]&gt;=7,"7-8","Below 7")))</f>
        <v>Below 7</v>
      </c>
      <c r="M261" t="str">
        <f>IF(tblPlacement[Package_LPA]&gt;=15,"High",IF(tblPlacement[Package_LPA]&gt;=8,"Medium","Low"))</f>
        <v>Medium</v>
      </c>
      <c r="N261">
        <f>IF(tblPlacement[Internship]="Yes",1,0)</f>
        <v>1</v>
      </c>
    </row>
    <row r="262" spans="1:14" x14ac:dyDescent="0.3">
      <c r="A262" t="s">
        <v>359</v>
      </c>
      <c r="B262" t="s">
        <v>30</v>
      </c>
      <c r="C262">
        <v>7.4</v>
      </c>
      <c r="D262" t="s">
        <v>11</v>
      </c>
      <c r="E262" t="s">
        <v>18</v>
      </c>
      <c r="F262" t="s">
        <v>32</v>
      </c>
      <c r="G262">
        <v>0</v>
      </c>
      <c r="H262" t="s">
        <v>33</v>
      </c>
      <c r="I262" t="s">
        <v>33</v>
      </c>
      <c r="J262" t="s">
        <v>359</v>
      </c>
      <c r="K262">
        <f>IF(tblPlacement[Placement_Status]="Placed",1,0)</f>
        <v>0</v>
      </c>
      <c r="L262" t="str">
        <f>IF(tblPlacement[CGPA]&gt;=9,"9+", IF(tblPlacement[CGPA]&gt;=8,"8-9",IF(tblPlacement[CGPA]&gt;=7,"7-8","Below 7")))</f>
        <v>7-8</v>
      </c>
      <c r="M262" t="str">
        <f>IF(tblPlacement[Package_LPA]&gt;=15,"High",IF(tblPlacement[Package_LPA]&gt;=8,"Medium","Low"))</f>
        <v>Low</v>
      </c>
      <c r="N262">
        <f>IF(tblPlacement[Internship]="Yes",1,0)</f>
        <v>1</v>
      </c>
    </row>
    <row r="263" spans="1:14" x14ac:dyDescent="0.3">
      <c r="A263" t="s">
        <v>360</v>
      </c>
      <c r="B263" t="s">
        <v>10</v>
      </c>
      <c r="C263">
        <v>7.9</v>
      </c>
      <c r="D263" t="s">
        <v>22</v>
      </c>
      <c r="E263" t="s">
        <v>110</v>
      </c>
      <c r="F263" t="s">
        <v>32</v>
      </c>
      <c r="G263">
        <v>0</v>
      </c>
      <c r="H263" t="s">
        <v>33</v>
      </c>
      <c r="I263" t="s">
        <v>33</v>
      </c>
      <c r="J263" t="s">
        <v>360</v>
      </c>
      <c r="K263">
        <f>IF(tblPlacement[Placement_Status]="Placed",1,0)</f>
        <v>0</v>
      </c>
      <c r="L263" t="str">
        <f>IF(tblPlacement[CGPA]&gt;=9,"9+", IF(tblPlacement[CGPA]&gt;=8,"8-9",IF(tblPlacement[CGPA]&gt;=7,"7-8","Below 7")))</f>
        <v>7-8</v>
      </c>
      <c r="M263" t="str">
        <f>IF(tblPlacement[Package_LPA]&gt;=15,"High",IF(tblPlacement[Package_LPA]&gt;=8,"Medium","Low"))</f>
        <v>Low</v>
      </c>
      <c r="N263">
        <f>IF(tblPlacement[Internship]="Yes",1,0)</f>
        <v>0</v>
      </c>
    </row>
    <row r="264" spans="1:14" x14ac:dyDescent="0.3">
      <c r="A264" t="s">
        <v>361</v>
      </c>
      <c r="B264" t="s">
        <v>20</v>
      </c>
      <c r="C264">
        <v>9.4</v>
      </c>
      <c r="D264" t="s">
        <v>11</v>
      </c>
      <c r="E264" t="s">
        <v>86</v>
      </c>
      <c r="F264" t="s">
        <v>13</v>
      </c>
      <c r="G264">
        <v>11.8</v>
      </c>
      <c r="H264" t="s">
        <v>67</v>
      </c>
      <c r="I264" t="s">
        <v>20</v>
      </c>
      <c r="J264" t="s">
        <v>361</v>
      </c>
      <c r="K264">
        <f>IF(tblPlacement[Placement_Status]="Placed",1,0)</f>
        <v>1</v>
      </c>
      <c r="L264" t="str">
        <f>IF(tblPlacement[CGPA]&gt;=9,"9+", IF(tblPlacement[CGPA]&gt;=8,"8-9",IF(tblPlacement[CGPA]&gt;=7,"7-8","Below 7")))</f>
        <v>9+</v>
      </c>
      <c r="M264" t="str">
        <f>IF(tblPlacement[Package_LPA]&gt;=15,"High",IF(tblPlacement[Package_LPA]&gt;=8,"Medium","Low"))</f>
        <v>Medium</v>
      </c>
      <c r="N264">
        <f>IF(tblPlacement[Internship]="Yes",1,0)</f>
        <v>1</v>
      </c>
    </row>
    <row r="265" spans="1:14" x14ac:dyDescent="0.3">
      <c r="A265" t="s">
        <v>362</v>
      </c>
      <c r="B265" t="s">
        <v>17</v>
      </c>
      <c r="C265">
        <v>6.1</v>
      </c>
      <c r="D265" t="s">
        <v>22</v>
      </c>
      <c r="E265" t="s">
        <v>46</v>
      </c>
      <c r="F265" t="s">
        <v>32</v>
      </c>
      <c r="G265">
        <v>0</v>
      </c>
      <c r="H265" t="s">
        <v>33</v>
      </c>
      <c r="I265" t="s">
        <v>33</v>
      </c>
      <c r="J265" t="s">
        <v>362</v>
      </c>
      <c r="K265">
        <f>IF(tblPlacement[Placement_Status]="Placed",1,0)</f>
        <v>0</v>
      </c>
      <c r="L265" t="str">
        <f>IF(tblPlacement[CGPA]&gt;=9,"9+", IF(tblPlacement[CGPA]&gt;=8,"8-9",IF(tblPlacement[CGPA]&gt;=7,"7-8","Below 7")))</f>
        <v>Below 7</v>
      </c>
      <c r="M265" t="str">
        <f>IF(tblPlacement[Package_LPA]&gt;=15,"High",IF(tblPlacement[Package_LPA]&gt;=8,"Medium","Low"))</f>
        <v>Low</v>
      </c>
      <c r="N265">
        <f>IF(tblPlacement[Internship]="Yes",1,0)</f>
        <v>0</v>
      </c>
    </row>
    <row r="266" spans="1:14" x14ac:dyDescent="0.3">
      <c r="A266" t="s">
        <v>363</v>
      </c>
      <c r="B266" t="s">
        <v>20</v>
      </c>
      <c r="C266">
        <v>5.5</v>
      </c>
      <c r="D266" t="s">
        <v>11</v>
      </c>
      <c r="E266" t="s">
        <v>200</v>
      </c>
      <c r="F266" t="s">
        <v>13</v>
      </c>
      <c r="G266">
        <v>10.7</v>
      </c>
      <c r="H266" t="s">
        <v>53</v>
      </c>
      <c r="I266" t="s">
        <v>20</v>
      </c>
      <c r="J266" t="s">
        <v>363</v>
      </c>
      <c r="K266">
        <f>IF(tblPlacement[Placement_Status]="Placed",1,0)</f>
        <v>1</v>
      </c>
      <c r="L266" t="str">
        <f>IF(tblPlacement[CGPA]&gt;=9,"9+", IF(tblPlacement[CGPA]&gt;=8,"8-9",IF(tblPlacement[CGPA]&gt;=7,"7-8","Below 7")))</f>
        <v>Below 7</v>
      </c>
      <c r="M266" t="str">
        <f>IF(tblPlacement[Package_LPA]&gt;=15,"High",IF(tblPlacement[Package_LPA]&gt;=8,"Medium","Low"))</f>
        <v>Medium</v>
      </c>
      <c r="N266">
        <f>IF(tblPlacement[Internship]="Yes",1,0)</f>
        <v>1</v>
      </c>
    </row>
    <row r="267" spans="1:14" x14ac:dyDescent="0.3">
      <c r="A267" t="s">
        <v>364</v>
      </c>
      <c r="B267" t="s">
        <v>43</v>
      </c>
      <c r="C267">
        <v>8.5</v>
      </c>
      <c r="D267" t="s">
        <v>11</v>
      </c>
      <c r="E267" t="s">
        <v>44</v>
      </c>
      <c r="F267" t="s">
        <v>13</v>
      </c>
      <c r="G267">
        <v>8.5</v>
      </c>
      <c r="H267" t="s">
        <v>255</v>
      </c>
      <c r="I267" t="s">
        <v>43</v>
      </c>
      <c r="J267" t="s">
        <v>364</v>
      </c>
      <c r="K267">
        <f>IF(tblPlacement[Placement_Status]="Placed",1,0)</f>
        <v>1</v>
      </c>
      <c r="L267" t="str">
        <f>IF(tblPlacement[CGPA]&gt;=9,"9+", IF(tblPlacement[CGPA]&gt;=8,"8-9",IF(tblPlacement[CGPA]&gt;=7,"7-8","Below 7")))</f>
        <v>8-9</v>
      </c>
      <c r="M267" t="str">
        <f>IF(tblPlacement[Package_LPA]&gt;=15,"High",IF(tblPlacement[Package_LPA]&gt;=8,"Medium","Low"))</f>
        <v>Medium</v>
      </c>
      <c r="N267">
        <f>IF(tblPlacement[Internship]="Yes",1,0)</f>
        <v>1</v>
      </c>
    </row>
    <row r="268" spans="1:14" x14ac:dyDescent="0.3">
      <c r="A268" t="s">
        <v>365</v>
      </c>
      <c r="B268" t="s">
        <v>17</v>
      </c>
      <c r="C268">
        <v>9.8000000000000007</v>
      </c>
      <c r="D268" t="s">
        <v>22</v>
      </c>
      <c r="E268" t="s">
        <v>46</v>
      </c>
      <c r="F268" t="s">
        <v>32</v>
      </c>
      <c r="G268">
        <v>0</v>
      </c>
      <c r="H268" t="s">
        <v>33</v>
      </c>
      <c r="I268" t="s">
        <v>33</v>
      </c>
      <c r="J268" t="s">
        <v>365</v>
      </c>
      <c r="K268">
        <f>IF(tblPlacement[Placement_Status]="Placed",1,0)</f>
        <v>0</v>
      </c>
      <c r="L268" t="str">
        <f>IF(tblPlacement[CGPA]&gt;=9,"9+", IF(tblPlacement[CGPA]&gt;=8,"8-9",IF(tblPlacement[CGPA]&gt;=7,"7-8","Below 7")))</f>
        <v>9+</v>
      </c>
      <c r="M268" t="str">
        <f>IF(tblPlacement[Package_LPA]&gt;=15,"High",IF(tblPlacement[Package_LPA]&gt;=8,"Medium","Low"))</f>
        <v>Low</v>
      </c>
      <c r="N268">
        <f>IF(tblPlacement[Internship]="Yes",1,0)</f>
        <v>0</v>
      </c>
    </row>
    <row r="269" spans="1:14" x14ac:dyDescent="0.3">
      <c r="A269" t="s">
        <v>366</v>
      </c>
      <c r="B269" t="s">
        <v>30</v>
      </c>
      <c r="C269">
        <v>6.5</v>
      </c>
      <c r="D269" t="s">
        <v>11</v>
      </c>
      <c r="E269" t="s">
        <v>60</v>
      </c>
      <c r="F269" t="s">
        <v>32</v>
      </c>
      <c r="G269">
        <v>0</v>
      </c>
      <c r="H269" t="s">
        <v>33</v>
      </c>
      <c r="I269" t="s">
        <v>33</v>
      </c>
      <c r="J269" t="s">
        <v>366</v>
      </c>
      <c r="K269">
        <f>IF(tblPlacement[Placement_Status]="Placed",1,0)</f>
        <v>0</v>
      </c>
      <c r="L269" t="str">
        <f>IF(tblPlacement[CGPA]&gt;=9,"9+", IF(tblPlacement[CGPA]&gt;=8,"8-9",IF(tblPlacement[CGPA]&gt;=7,"7-8","Below 7")))</f>
        <v>Below 7</v>
      </c>
      <c r="M269" t="str">
        <f>IF(tblPlacement[Package_LPA]&gt;=15,"High",IF(tblPlacement[Package_LPA]&gt;=8,"Medium","Low"))</f>
        <v>Low</v>
      </c>
      <c r="N269">
        <f>IF(tblPlacement[Internship]="Yes",1,0)</f>
        <v>1</v>
      </c>
    </row>
    <row r="270" spans="1:14" x14ac:dyDescent="0.3">
      <c r="A270" t="s">
        <v>367</v>
      </c>
      <c r="B270" t="s">
        <v>131</v>
      </c>
      <c r="C270">
        <v>8.1999999999999993</v>
      </c>
      <c r="D270" t="s">
        <v>11</v>
      </c>
      <c r="E270" t="s">
        <v>23</v>
      </c>
      <c r="F270" t="s">
        <v>13</v>
      </c>
      <c r="G270">
        <v>16.399999999999999</v>
      </c>
      <c r="H270" t="s">
        <v>368</v>
      </c>
      <c r="I270" t="s">
        <v>309</v>
      </c>
      <c r="J270" t="s">
        <v>367</v>
      </c>
      <c r="K270">
        <f>IF(tblPlacement[Placement_Status]="Placed",1,0)</f>
        <v>1</v>
      </c>
      <c r="L270" t="str">
        <f>IF(tblPlacement[CGPA]&gt;=9,"9+", IF(tblPlacement[CGPA]&gt;=8,"8-9",IF(tblPlacement[CGPA]&gt;=7,"7-8","Below 7")))</f>
        <v>8-9</v>
      </c>
      <c r="M270" t="str">
        <f>IF(tblPlacement[Package_LPA]&gt;=15,"High",IF(tblPlacement[Package_LPA]&gt;=8,"Medium","Low"))</f>
        <v>High</v>
      </c>
      <c r="N270">
        <f>IF(tblPlacement[Internship]="Yes",1,0)</f>
        <v>1</v>
      </c>
    </row>
    <row r="271" spans="1:14" x14ac:dyDescent="0.3">
      <c r="A271" t="s">
        <v>369</v>
      </c>
      <c r="B271" t="s">
        <v>20</v>
      </c>
      <c r="C271">
        <v>6</v>
      </c>
      <c r="D271" t="s">
        <v>11</v>
      </c>
      <c r="E271" t="s">
        <v>39</v>
      </c>
      <c r="F271" t="s">
        <v>32</v>
      </c>
      <c r="G271">
        <v>0</v>
      </c>
      <c r="H271" t="s">
        <v>33</v>
      </c>
      <c r="I271" t="s">
        <v>33</v>
      </c>
      <c r="J271" t="s">
        <v>369</v>
      </c>
      <c r="K271">
        <f>IF(tblPlacement[Placement_Status]="Placed",1,0)</f>
        <v>0</v>
      </c>
      <c r="L271" t="str">
        <f>IF(tblPlacement[CGPA]&gt;=9,"9+", IF(tblPlacement[CGPA]&gt;=8,"8-9",IF(tblPlacement[CGPA]&gt;=7,"7-8","Below 7")))</f>
        <v>Below 7</v>
      </c>
      <c r="M271" t="str">
        <f>IF(tblPlacement[Package_LPA]&gt;=15,"High",IF(tblPlacement[Package_LPA]&gt;=8,"Medium","Low"))</f>
        <v>Low</v>
      </c>
      <c r="N271">
        <f>IF(tblPlacement[Internship]="Yes",1,0)</f>
        <v>1</v>
      </c>
    </row>
    <row r="272" spans="1:14" x14ac:dyDescent="0.3">
      <c r="A272" t="s">
        <v>370</v>
      </c>
      <c r="B272" t="s">
        <v>17</v>
      </c>
      <c r="C272">
        <v>5.2</v>
      </c>
      <c r="D272" t="s">
        <v>11</v>
      </c>
      <c r="E272" t="s">
        <v>80</v>
      </c>
      <c r="F272" t="s">
        <v>13</v>
      </c>
      <c r="G272">
        <v>10.1</v>
      </c>
      <c r="H272" t="s">
        <v>53</v>
      </c>
      <c r="I272" t="s">
        <v>20</v>
      </c>
      <c r="J272" t="s">
        <v>370</v>
      </c>
      <c r="K272">
        <f>IF(tblPlacement[Placement_Status]="Placed",1,0)</f>
        <v>1</v>
      </c>
      <c r="L272" t="str">
        <f>IF(tblPlacement[CGPA]&gt;=9,"9+", IF(tblPlacement[CGPA]&gt;=8,"8-9",IF(tblPlacement[CGPA]&gt;=7,"7-8","Below 7")))</f>
        <v>Below 7</v>
      </c>
      <c r="M272" t="str">
        <f>IF(tblPlacement[Package_LPA]&gt;=15,"High",IF(tblPlacement[Package_LPA]&gt;=8,"Medium","Low"))</f>
        <v>Medium</v>
      </c>
      <c r="N272">
        <f>IF(tblPlacement[Internship]="Yes",1,0)</f>
        <v>1</v>
      </c>
    </row>
    <row r="273" spans="1:14" x14ac:dyDescent="0.3">
      <c r="A273" t="s">
        <v>371</v>
      </c>
      <c r="B273" t="s">
        <v>17</v>
      </c>
      <c r="C273">
        <v>7.3</v>
      </c>
      <c r="D273" t="s">
        <v>11</v>
      </c>
      <c r="E273" t="s">
        <v>136</v>
      </c>
      <c r="F273" t="s">
        <v>32</v>
      </c>
      <c r="G273">
        <v>0</v>
      </c>
      <c r="H273" t="s">
        <v>33</v>
      </c>
      <c r="I273" t="s">
        <v>33</v>
      </c>
      <c r="J273" t="s">
        <v>371</v>
      </c>
      <c r="K273">
        <f>IF(tblPlacement[Placement_Status]="Placed",1,0)</f>
        <v>0</v>
      </c>
      <c r="L273" t="str">
        <f>IF(tblPlacement[CGPA]&gt;=9,"9+", IF(tblPlacement[CGPA]&gt;=8,"8-9",IF(tblPlacement[CGPA]&gt;=7,"7-8","Below 7")))</f>
        <v>7-8</v>
      </c>
      <c r="M273" t="str">
        <f>IF(tblPlacement[Package_LPA]&gt;=15,"High",IF(tblPlacement[Package_LPA]&gt;=8,"Medium","Low"))</f>
        <v>Low</v>
      </c>
      <c r="N273">
        <f>IF(tblPlacement[Internship]="Yes",1,0)</f>
        <v>1</v>
      </c>
    </row>
    <row r="274" spans="1:14" x14ac:dyDescent="0.3">
      <c r="A274" t="s">
        <v>372</v>
      </c>
      <c r="B274" t="s">
        <v>10</v>
      </c>
      <c r="C274">
        <v>5.7</v>
      </c>
      <c r="D274" t="s">
        <v>22</v>
      </c>
      <c r="E274" t="s">
        <v>39</v>
      </c>
      <c r="F274" t="s">
        <v>32</v>
      </c>
      <c r="G274">
        <v>0</v>
      </c>
      <c r="H274" t="s">
        <v>33</v>
      </c>
      <c r="I274" t="s">
        <v>33</v>
      </c>
      <c r="J274" t="s">
        <v>372</v>
      </c>
      <c r="K274">
        <f>IF(tblPlacement[Placement_Status]="Placed",1,0)</f>
        <v>0</v>
      </c>
      <c r="L274" t="str">
        <f>IF(tblPlacement[CGPA]&gt;=9,"9+", IF(tblPlacement[CGPA]&gt;=8,"8-9",IF(tblPlacement[CGPA]&gt;=7,"7-8","Below 7")))</f>
        <v>Below 7</v>
      </c>
      <c r="M274" t="str">
        <f>IF(tblPlacement[Package_LPA]&gt;=15,"High",IF(tblPlacement[Package_LPA]&gt;=8,"Medium","Low"))</f>
        <v>Low</v>
      </c>
      <c r="N274">
        <f>IF(tblPlacement[Internship]="Yes",1,0)</f>
        <v>0</v>
      </c>
    </row>
    <row r="275" spans="1:14" x14ac:dyDescent="0.3">
      <c r="A275" t="s">
        <v>373</v>
      </c>
      <c r="B275" t="s">
        <v>26</v>
      </c>
      <c r="C275">
        <v>9.3000000000000007</v>
      </c>
      <c r="D275" t="s">
        <v>11</v>
      </c>
      <c r="E275" t="s">
        <v>27</v>
      </c>
      <c r="F275" t="s">
        <v>13</v>
      </c>
      <c r="G275">
        <v>7.7</v>
      </c>
      <c r="H275" t="s">
        <v>28</v>
      </c>
      <c r="I275" t="s">
        <v>26</v>
      </c>
      <c r="J275" t="s">
        <v>373</v>
      </c>
      <c r="K275">
        <f>IF(tblPlacement[Placement_Status]="Placed",1,0)</f>
        <v>1</v>
      </c>
      <c r="L275" t="str">
        <f>IF(tblPlacement[CGPA]&gt;=9,"9+", IF(tblPlacement[CGPA]&gt;=8,"8-9",IF(tblPlacement[CGPA]&gt;=7,"7-8","Below 7")))</f>
        <v>9+</v>
      </c>
      <c r="M275" t="str">
        <f>IF(tblPlacement[Package_LPA]&gt;=15,"High",IF(tblPlacement[Package_LPA]&gt;=8,"Medium","Low"))</f>
        <v>Low</v>
      </c>
      <c r="N275">
        <f>IF(tblPlacement[Internship]="Yes",1,0)</f>
        <v>1</v>
      </c>
    </row>
    <row r="276" spans="1:14" x14ac:dyDescent="0.3">
      <c r="A276" t="s">
        <v>374</v>
      </c>
      <c r="B276" t="s">
        <v>20</v>
      </c>
      <c r="C276">
        <v>7.7</v>
      </c>
      <c r="D276" t="s">
        <v>22</v>
      </c>
      <c r="E276" t="s">
        <v>18</v>
      </c>
      <c r="F276" t="s">
        <v>13</v>
      </c>
      <c r="G276">
        <v>16.600000000000001</v>
      </c>
      <c r="H276" t="s">
        <v>19</v>
      </c>
      <c r="I276" t="s">
        <v>20</v>
      </c>
      <c r="J276" t="s">
        <v>374</v>
      </c>
      <c r="K276">
        <f>IF(tblPlacement[Placement_Status]="Placed",1,0)</f>
        <v>1</v>
      </c>
      <c r="L276" t="str">
        <f>IF(tblPlacement[CGPA]&gt;=9,"9+", IF(tblPlacement[CGPA]&gt;=8,"8-9",IF(tblPlacement[CGPA]&gt;=7,"7-8","Below 7")))</f>
        <v>7-8</v>
      </c>
      <c r="M276" t="str">
        <f>IF(tblPlacement[Package_LPA]&gt;=15,"High",IF(tblPlacement[Package_LPA]&gt;=8,"Medium","Low"))</f>
        <v>High</v>
      </c>
      <c r="N276">
        <f>IF(tblPlacement[Internship]="Yes",1,0)</f>
        <v>0</v>
      </c>
    </row>
    <row r="277" spans="1:14" x14ac:dyDescent="0.3">
      <c r="A277" t="s">
        <v>375</v>
      </c>
      <c r="B277" t="s">
        <v>10</v>
      </c>
      <c r="C277">
        <v>6.7</v>
      </c>
      <c r="D277" t="s">
        <v>22</v>
      </c>
      <c r="E277" t="s">
        <v>18</v>
      </c>
      <c r="F277" t="s">
        <v>13</v>
      </c>
      <c r="G277">
        <v>7.2</v>
      </c>
      <c r="H277" t="s">
        <v>53</v>
      </c>
      <c r="I277" t="s">
        <v>20</v>
      </c>
      <c r="J277" t="s">
        <v>375</v>
      </c>
      <c r="K277">
        <f>IF(tblPlacement[Placement_Status]="Placed",1,0)</f>
        <v>1</v>
      </c>
      <c r="L277" t="str">
        <f>IF(tblPlacement[CGPA]&gt;=9,"9+", IF(tblPlacement[CGPA]&gt;=8,"8-9",IF(tblPlacement[CGPA]&gt;=7,"7-8","Below 7")))</f>
        <v>Below 7</v>
      </c>
      <c r="M277" t="str">
        <f>IF(tblPlacement[Package_LPA]&gt;=15,"High",IF(tblPlacement[Package_LPA]&gt;=8,"Medium","Low"))</f>
        <v>Low</v>
      </c>
      <c r="N277">
        <f>IF(tblPlacement[Internship]="Yes",1,0)</f>
        <v>0</v>
      </c>
    </row>
    <row r="278" spans="1:14" x14ac:dyDescent="0.3">
      <c r="A278" t="s">
        <v>376</v>
      </c>
      <c r="B278" t="s">
        <v>20</v>
      </c>
      <c r="C278">
        <v>5.5</v>
      </c>
      <c r="D278" t="s">
        <v>22</v>
      </c>
      <c r="E278" t="s">
        <v>39</v>
      </c>
      <c r="F278" t="s">
        <v>32</v>
      </c>
      <c r="G278">
        <v>0</v>
      </c>
      <c r="H278" t="s">
        <v>33</v>
      </c>
      <c r="I278" t="s">
        <v>33</v>
      </c>
      <c r="J278" t="s">
        <v>376</v>
      </c>
      <c r="K278">
        <f>IF(tblPlacement[Placement_Status]="Placed",1,0)</f>
        <v>0</v>
      </c>
      <c r="L278" t="str">
        <f>IF(tblPlacement[CGPA]&gt;=9,"9+", IF(tblPlacement[CGPA]&gt;=8,"8-9",IF(tblPlacement[CGPA]&gt;=7,"7-8","Below 7")))</f>
        <v>Below 7</v>
      </c>
      <c r="M278" t="str">
        <f>IF(tblPlacement[Package_LPA]&gt;=15,"High",IF(tblPlacement[Package_LPA]&gt;=8,"Medium","Low"))</f>
        <v>Low</v>
      </c>
      <c r="N278">
        <f>IF(tblPlacement[Internship]="Yes",1,0)</f>
        <v>0</v>
      </c>
    </row>
    <row r="279" spans="1:14" x14ac:dyDescent="0.3">
      <c r="A279" t="s">
        <v>377</v>
      </c>
      <c r="B279" t="s">
        <v>20</v>
      </c>
      <c r="C279">
        <v>7.5</v>
      </c>
      <c r="D279" t="s">
        <v>22</v>
      </c>
      <c r="E279" t="s">
        <v>200</v>
      </c>
      <c r="F279" t="s">
        <v>32</v>
      </c>
      <c r="G279">
        <v>0</v>
      </c>
      <c r="H279" t="s">
        <v>33</v>
      </c>
      <c r="I279" t="s">
        <v>33</v>
      </c>
      <c r="J279" t="s">
        <v>377</v>
      </c>
      <c r="K279">
        <f>IF(tblPlacement[Placement_Status]="Placed",1,0)</f>
        <v>0</v>
      </c>
      <c r="L279" t="str">
        <f>IF(tblPlacement[CGPA]&gt;=9,"9+", IF(tblPlacement[CGPA]&gt;=8,"8-9",IF(tblPlacement[CGPA]&gt;=7,"7-8","Below 7")))</f>
        <v>7-8</v>
      </c>
      <c r="M279" t="str">
        <f>IF(tblPlacement[Package_LPA]&gt;=15,"High",IF(tblPlacement[Package_LPA]&gt;=8,"Medium","Low"))</f>
        <v>Low</v>
      </c>
      <c r="N279">
        <f>IF(tblPlacement[Internship]="Yes",1,0)</f>
        <v>0</v>
      </c>
    </row>
    <row r="280" spans="1:14" x14ac:dyDescent="0.3">
      <c r="A280" t="s">
        <v>378</v>
      </c>
      <c r="B280" t="s">
        <v>20</v>
      </c>
      <c r="C280">
        <v>7.1</v>
      </c>
      <c r="D280" t="s">
        <v>11</v>
      </c>
      <c r="E280" t="s">
        <v>200</v>
      </c>
      <c r="F280" t="s">
        <v>13</v>
      </c>
      <c r="G280">
        <v>16.5</v>
      </c>
      <c r="H280" t="s">
        <v>19</v>
      </c>
      <c r="I280" t="s">
        <v>20</v>
      </c>
      <c r="J280" t="s">
        <v>378</v>
      </c>
      <c r="K280">
        <f>IF(tblPlacement[Placement_Status]="Placed",1,0)</f>
        <v>1</v>
      </c>
      <c r="L280" t="str">
        <f>IF(tblPlacement[CGPA]&gt;=9,"9+", IF(tblPlacement[CGPA]&gt;=8,"8-9",IF(tblPlacement[CGPA]&gt;=7,"7-8","Below 7")))</f>
        <v>7-8</v>
      </c>
      <c r="M280" t="str">
        <f>IF(tblPlacement[Package_LPA]&gt;=15,"High",IF(tblPlacement[Package_LPA]&gt;=8,"Medium","Low"))</f>
        <v>High</v>
      </c>
      <c r="N280">
        <f>IF(tblPlacement[Internship]="Yes",1,0)</f>
        <v>1</v>
      </c>
    </row>
    <row r="281" spans="1:14" x14ac:dyDescent="0.3">
      <c r="A281" t="s">
        <v>379</v>
      </c>
      <c r="B281" t="s">
        <v>20</v>
      </c>
      <c r="C281">
        <v>8.5</v>
      </c>
      <c r="D281" t="s">
        <v>22</v>
      </c>
      <c r="E281" t="s">
        <v>18</v>
      </c>
      <c r="F281" t="s">
        <v>13</v>
      </c>
      <c r="G281">
        <v>12.5</v>
      </c>
      <c r="H281" t="s">
        <v>53</v>
      </c>
      <c r="I281" t="s">
        <v>20</v>
      </c>
      <c r="J281" t="s">
        <v>379</v>
      </c>
      <c r="K281">
        <f>IF(tblPlacement[Placement_Status]="Placed",1,0)</f>
        <v>1</v>
      </c>
      <c r="L281" t="str">
        <f>IF(tblPlacement[CGPA]&gt;=9,"9+", IF(tblPlacement[CGPA]&gt;=8,"8-9",IF(tblPlacement[CGPA]&gt;=7,"7-8","Below 7")))</f>
        <v>8-9</v>
      </c>
      <c r="M281" t="str">
        <f>IF(tblPlacement[Package_LPA]&gt;=15,"High",IF(tblPlacement[Package_LPA]&gt;=8,"Medium","Low"))</f>
        <v>Medium</v>
      </c>
      <c r="N281">
        <f>IF(tblPlacement[Internship]="Yes",1,0)</f>
        <v>0</v>
      </c>
    </row>
    <row r="282" spans="1:14" x14ac:dyDescent="0.3">
      <c r="A282" t="s">
        <v>380</v>
      </c>
      <c r="B282" t="s">
        <v>20</v>
      </c>
      <c r="C282">
        <v>6.4</v>
      </c>
      <c r="D282" t="s">
        <v>11</v>
      </c>
      <c r="E282" t="s">
        <v>23</v>
      </c>
      <c r="F282" t="s">
        <v>32</v>
      </c>
      <c r="G282">
        <v>0</v>
      </c>
      <c r="H282" t="s">
        <v>33</v>
      </c>
      <c r="I282" t="s">
        <v>33</v>
      </c>
      <c r="J282" t="s">
        <v>380</v>
      </c>
      <c r="K282">
        <f>IF(tblPlacement[Placement_Status]="Placed",1,0)</f>
        <v>0</v>
      </c>
      <c r="L282" t="str">
        <f>IF(tblPlacement[CGPA]&gt;=9,"9+", IF(tblPlacement[CGPA]&gt;=8,"8-9",IF(tblPlacement[CGPA]&gt;=7,"7-8","Below 7")))</f>
        <v>Below 7</v>
      </c>
      <c r="M282" t="str">
        <f>IF(tblPlacement[Package_LPA]&gt;=15,"High",IF(tblPlacement[Package_LPA]&gt;=8,"Medium","Low"))</f>
        <v>Low</v>
      </c>
      <c r="N282">
        <f>IF(tblPlacement[Internship]="Yes",1,0)</f>
        <v>1</v>
      </c>
    </row>
    <row r="283" spans="1:14" x14ac:dyDescent="0.3">
      <c r="A283" t="s">
        <v>381</v>
      </c>
      <c r="B283" t="s">
        <v>43</v>
      </c>
      <c r="C283">
        <v>5.6</v>
      </c>
      <c r="D283" t="s">
        <v>22</v>
      </c>
      <c r="E283" t="s">
        <v>69</v>
      </c>
      <c r="F283" t="s">
        <v>13</v>
      </c>
      <c r="G283">
        <v>12.7</v>
      </c>
      <c r="H283" t="s">
        <v>128</v>
      </c>
      <c r="I283" t="s">
        <v>43</v>
      </c>
      <c r="J283" t="s">
        <v>381</v>
      </c>
      <c r="K283">
        <f>IF(tblPlacement[Placement_Status]="Placed",1,0)</f>
        <v>1</v>
      </c>
      <c r="L283" t="str">
        <f>IF(tblPlacement[CGPA]&gt;=9,"9+", IF(tblPlacement[CGPA]&gt;=8,"8-9",IF(tblPlacement[CGPA]&gt;=7,"7-8","Below 7")))</f>
        <v>Below 7</v>
      </c>
      <c r="M283" t="str">
        <f>IF(tblPlacement[Package_LPA]&gt;=15,"High",IF(tblPlacement[Package_LPA]&gt;=8,"Medium","Low"))</f>
        <v>Medium</v>
      </c>
      <c r="N283">
        <f>IF(tblPlacement[Internship]="Yes",1,0)</f>
        <v>0</v>
      </c>
    </row>
    <row r="284" spans="1:14" x14ac:dyDescent="0.3">
      <c r="A284" t="s">
        <v>382</v>
      </c>
      <c r="B284" t="s">
        <v>17</v>
      </c>
      <c r="C284">
        <v>8.6999999999999993</v>
      </c>
      <c r="D284" t="s">
        <v>22</v>
      </c>
      <c r="E284" t="s">
        <v>136</v>
      </c>
      <c r="F284" t="s">
        <v>13</v>
      </c>
      <c r="G284">
        <v>19.2</v>
      </c>
      <c r="H284" t="s">
        <v>24</v>
      </c>
      <c r="I284" t="s">
        <v>20</v>
      </c>
      <c r="J284" t="s">
        <v>382</v>
      </c>
      <c r="K284">
        <f>IF(tblPlacement[Placement_Status]="Placed",1,0)</f>
        <v>1</v>
      </c>
      <c r="L284" t="str">
        <f>IF(tblPlacement[CGPA]&gt;=9,"9+", IF(tblPlacement[CGPA]&gt;=8,"8-9",IF(tblPlacement[CGPA]&gt;=7,"7-8","Below 7")))</f>
        <v>8-9</v>
      </c>
      <c r="M284" t="str">
        <f>IF(tblPlacement[Package_LPA]&gt;=15,"High",IF(tblPlacement[Package_LPA]&gt;=8,"Medium","Low"))</f>
        <v>High</v>
      </c>
      <c r="N284">
        <f>IF(tblPlacement[Internship]="Yes",1,0)</f>
        <v>0</v>
      </c>
    </row>
    <row r="285" spans="1:14" x14ac:dyDescent="0.3">
      <c r="A285" t="s">
        <v>383</v>
      </c>
      <c r="B285" t="s">
        <v>17</v>
      </c>
      <c r="C285">
        <v>9.5</v>
      </c>
      <c r="D285" t="s">
        <v>22</v>
      </c>
      <c r="E285" t="s">
        <v>46</v>
      </c>
      <c r="F285" t="s">
        <v>32</v>
      </c>
      <c r="G285">
        <v>0</v>
      </c>
      <c r="H285" t="s">
        <v>33</v>
      </c>
      <c r="I285" t="s">
        <v>33</v>
      </c>
      <c r="J285" t="s">
        <v>383</v>
      </c>
      <c r="K285">
        <f>IF(tblPlacement[Placement_Status]="Placed",1,0)</f>
        <v>0</v>
      </c>
      <c r="L285" t="str">
        <f>IF(tblPlacement[CGPA]&gt;=9,"9+", IF(tblPlacement[CGPA]&gt;=8,"8-9",IF(tblPlacement[CGPA]&gt;=7,"7-8","Below 7")))</f>
        <v>9+</v>
      </c>
      <c r="M285" t="str">
        <f>IF(tblPlacement[Package_LPA]&gt;=15,"High",IF(tblPlacement[Package_LPA]&gt;=8,"Medium","Low"))</f>
        <v>Low</v>
      </c>
      <c r="N285">
        <f>IF(tblPlacement[Internship]="Yes",1,0)</f>
        <v>0</v>
      </c>
    </row>
    <row r="286" spans="1:14" x14ac:dyDescent="0.3">
      <c r="A286" t="s">
        <v>384</v>
      </c>
      <c r="B286" t="s">
        <v>43</v>
      </c>
      <c r="C286">
        <v>9.4</v>
      </c>
      <c r="D286" t="s">
        <v>22</v>
      </c>
      <c r="E286" t="s">
        <v>69</v>
      </c>
      <c r="F286" t="s">
        <v>13</v>
      </c>
      <c r="G286">
        <v>8.1</v>
      </c>
      <c r="H286" t="s">
        <v>182</v>
      </c>
      <c r="I286" t="s">
        <v>43</v>
      </c>
      <c r="J286" t="s">
        <v>384</v>
      </c>
      <c r="K286">
        <f>IF(tblPlacement[Placement_Status]="Placed",1,0)</f>
        <v>1</v>
      </c>
      <c r="L286" t="str">
        <f>IF(tblPlacement[CGPA]&gt;=9,"9+", IF(tblPlacement[CGPA]&gt;=8,"8-9",IF(tblPlacement[CGPA]&gt;=7,"7-8","Below 7")))</f>
        <v>9+</v>
      </c>
      <c r="M286" t="str">
        <f>IF(tblPlacement[Package_LPA]&gt;=15,"High",IF(tblPlacement[Package_LPA]&gt;=8,"Medium","Low"))</f>
        <v>Medium</v>
      </c>
      <c r="N286">
        <f>IF(tblPlacement[Internship]="Yes",1,0)</f>
        <v>0</v>
      </c>
    </row>
    <row r="287" spans="1:14" x14ac:dyDescent="0.3">
      <c r="A287" t="s">
        <v>385</v>
      </c>
      <c r="B287" t="s">
        <v>30</v>
      </c>
      <c r="C287">
        <v>6.9</v>
      </c>
      <c r="D287" t="s">
        <v>11</v>
      </c>
      <c r="E287" t="s">
        <v>335</v>
      </c>
      <c r="F287" t="s">
        <v>13</v>
      </c>
      <c r="G287">
        <v>15.7</v>
      </c>
      <c r="H287" t="s">
        <v>386</v>
      </c>
      <c r="I287" t="s">
        <v>37</v>
      </c>
      <c r="J287" t="s">
        <v>385</v>
      </c>
      <c r="K287">
        <f>IF(tblPlacement[Placement_Status]="Placed",1,0)</f>
        <v>1</v>
      </c>
      <c r="L287" t="str">
        <f>IF(tblPlacement[CGPA]&gt;=9,"9+", IF(tblPlacement[CGPA]&gt;=8,"8-9",IF(tblPlacement[CGPA]&gt;=7,"7-8","Below 7")))</f>
        <v>Below 7</v>
      </c>
      <c r="M287" t="str">
        <f>IF(tblPlacement[Package_LPA]&gt;=15,"High",IF(tblPlacement[Package_LPA]&gt;=8,"Medium","Low"))</f>
        <v>High</v>
      </c>
      <c r="N287">
        <f>IF(tblPlacement[Internship]="Yes",1,0)</f>
        <v>1</v>
      </c>
    </row>
    <row r="288" spans="1:14" x14ac:dyDescent="0.3">
      <c r="A288" t="s">
        <v>387</v>
      </c>
      <c r="B288" t="s">
        <v>20</v>
      </c>
      <c r="C288">
        <v>7.1</v>
      </c>
      <c r="D288" t="s">
        <v>11</v>
      </c>
      <c r="E288" t="s">
        <v>86</v>
      </c>
      <c r="F288" t="s">
        <v>32</v>
      </c>
      <c r="G288">
        <v>0</v>
      </c>
      <c r="H288" t="s">
        <v>33</v>
      </c>
      <c r="I288" t="s">
        <v>33</v>
      </c>
      <c r="J288" t="s">
        <v>387</v>
      </c>
      <c r="K288">
        <f>IF(tblPlacement[Placement_Status]="Placed",1,0)</f>
        <v>0</v>
      </c>
      <c r="L288" t="str">
        <f>IF(tblPlacement[CGPA]&gt;=9,"9+", IF(tblPlacement[CGPA]&gt;=8,"8-9",IF(tblPlacement[CGPA]&gt;=7,"7-8","Below 7")))</f>
        <v>7-8</v>
      </c>
      <c r="M288" t="str">
        <f>IF(tblPlacement[Package_LPA]&gt;=15,"High",IF(tblPlacement[Package_LPA]&gt;=8,"Medium","Low"))</f>
        <v>Low</v>
      </c>
      <c r="N288">
        <f>IF(tblPlacement[Internship]="Yes",1,0)</f>
        <v>1</v>
      </c>
    </row>
    <row r="289" spans="1:14" x14ac:dyDescent="0.3">
      <c r="A289" t="s">
        <v>388</v>
      </c>
      <c r="B289" t="s">
        <v>17</v>
      </c>
      <c r="C289">
        <v>7.7</v>
      </c>
      <c r="D289" t="s">
        <v>22</v>
      </c>
      <c r="E289" t="s">
        <v>86</v>
      </c>
      <c r="F289" t="s">
        <v>13</v>
      </c>
      <c r="G289">
        <v>7.6</v>
      </c>
      <c r="H289" t="s">
        <v>115</v>
      </c>
      <c r="I289" t="s">
        <v>20</v>
      </c>
      <c r="J289" t="s">
        <v>388</v>
      </c>
      <c r="K289">
        <f>IF(tblPlacement[Placement_Status]="Placed",1,0)</f>
        <v>1</v>
      </c>
      <c r="L289" t="str">
        <f>IF(tblPlacement[CGPA]&gt;=9,"9+", IF(tblPlacement[CGPA]&gt;=8,"8-9",IF(tblPlacement[CGPA]&gt;=7,"7-8","Below 7")))</f>
        <v>7-8</v>
      </c>
      <c r="M289" t="str">
        <f>IF(tblPlacement[Package_LPA]&gt;=15,"High",IF(tblPlacement[Package_LPA]&gt;=8,"Medium","Low"))</f>
        <v>Low</v>
      </c>
      <c r="N289">
        <f>IF(tblPlacement[Internship]="Yes",1,0)</f>
        <v>0</v>
      </c>
    </row>
    <row r="290" spans="1:14" x14ac:dyDescent="0.3">
      <c r="A290" t="s">
        <v>389</v>
      </c>
      <c r="B290" t="s">
        <v>30</v>
      </c>
      <c r="C290">
        <v>6.3</v>
      </c>
      <c r="D290" t="s">
        <v>11</v>
      </c>
      <c r="E290" t="s">
        <v>23</v>
      </c>
      <c r="F290" t="s">
        <v>13</v>
      </c>
      <c r="G290">
        <v>11.3</v>
      </c>
      <c r="H290" t="s">
        <v>81</v>
      </c>
      <c r="I290" t="s">
        <v>20</v>
      </c>
      <c r="J290" t="s">
        <v>389</v>
      </c>
      <c r="K290">
        <f>IF(tblPlacement[Placement_Status]="Placed",1,0)</f>
        <v>1</v>
      </c>
      <c r="L290" t="str">
        <f>IF(tblPlacement[CGPA]&gt;=9,"9+", IF(tblPlacement[CGPA]&gt;=8,"8-9",IF(tblPlacement[CGPA]&gt;=7,"7-8","Below 7")))</f>
        <v>Below 7</v>
      </c>
      <c r="M290" t="str">
        <f>IF(tblPlacement[Package_LPA]&gt;=15,"High",IF(tblPlacement[Package_LPA]&gt;=8,"Medium","Low"))</f>
        <v>Medium</v>
      </c>
      <c r="N290">
        <f>IF(tblPlacement[Internship]="Yes",1,0)</f>
        <v>1</v>
      </c>
    </row>
    <row r="291" spans="1:14" x14ac:dyDescent="0.3">
      <c r="A291" t="s">
        <v>390</v>
      </c>
      <c r="B291" t="s">
        <v>10</v>
      </c>
      <c r="C291">
        <v>6.8</v>
      </c>
      <c r="D291" t="s">
        <v>11</v>
      </c>
      <c r="E291" t="s">
        <v>110</v>
      </c>
      <c r="F291" t="s">
        <v>13</v>
      </c>
      <c r="G291">
        <v>15.2</v>
      </c>
      <c r="H291" t="s">
        <v>14</v>
      </c>
      <c r="I291" t="s">
        <v>15</v>
      </c>
      <c r="J291" t="s">
        <v>390</v>
      </c>
      <c r="K291">
        <f>IF(tblPlacement[Placement_Status]="Placed",1,0)</f>
        <v>1</v>
      </c>
      <c r="L291" t="str">
        <f>IF(tblPlacement[CGPA]&gt;=9,"9+", IF(tblPlacement[CGPA]&gt;=8,"8-9",IF(tblPlacement[CGPA]&gt;=7,"7-8","Below 7")))</f>
        <v>Below 7</v>
      </c>
      <c r="M291" t="str">
        <f>IF(tblPlacement[Package_LPA]&gt;=15,"High",IF(tblPlacement[Package_LPA]&gt;=8,"Medium","Low"))</f>
        <v>High</v>
      </c>
      <c r="N291">
        <f>IF(tblPlacement[Internship]="Yes",1,0)</f>
        <v>1</v>
      </c>
    </row>
    <row r="292" spans="1:14" x14ac:dyDescent="0.3">
      <c r="A292" t="s">
        <v>391</v>
      </c>
      <c r="B292" t="s">
        <v>10</v>
      </c>
      <c r="C292">
        <v>8.6999999999999993</v>
      </c>
      <c r="D292" t="s">
        <v>11</v>
      </c>
      <c r="E292" t="s">
        <v>12</v>
      </c>
      <c r="F292" t="s">
        <v>13</v>
      </c>
      <c r="G292">
        <v>9.1</v>
      </c>
      <c r="H292" t="s">
        <v>159</v>
      </c>
      <c r="I292" t="s">
        <v>15</v>
      </c>
      <c r="J292" t="s">
        <v>391</v>
      </c>
      <c r="K292">
        <f>IF(tblPlacement[Placement_Status]="Placed",1,0)</f>
        <v>1</v>
      </c>
      <c r="L292" t="str">
        <f>IF(tblPlacement[CGPA]&gt;=9,"9+", IF(tblPlacement[CGPA]&gt;=8,"8-9",IF(tblPlacement[CGPA]&gt;=7,"7-8","Below 7")))</f>
        <v>8-9</v>
      </c>
      <c r="M292" t="str">
        <f>IF(tblPlacement[Package_LPA]&gt;=15,"High",IF(tblPlacement[Package_LPA]&gt;=8,"Medium","Low"))</f>
        <v>Medium</v>
      </c>
      <c r="N292">
        <f>IF(tblPlacement[Internship]="Yes",1,0)</f>
        <v>1</v>
      </c>
    </row>
    <row r="293" spans="1:14" x14ac:dyDescent="0.3">
      <c r="A293" t="s">
        <v>392</v>
      </c>
      <c r="B293" t="s">
        <v>30</v>
      </c>
      <c r="C293">
        <v>8.3000000000000007</v>
      </c>
      <c r="D293" t="s">
        <v>22</v>
      </c>
      <c r="E293" t="s">
        <v>335</v>
      </c>
      <c r="F293" t="s">
        <v>32</v>
      </c>
      <c r="G293">
        <v>0</v>
      </c>
      <c r="H293" t="s">
        <v>33</v>
      </c>
      <c r="I293" t="s">
        <v>33</v>
      </c>
      <c r="J293" t="s">
        <v>392</v>
      </c>
      <c r="K293">
        <f>IF(tblPlacement[Placement_Status]="Placed",1,0)</f>
        <v>0</v>
      </c>
      <c r="L293" t="str">
        <f>IF(tblPlacement[CGPA]&gt;=9,"9+", IF(tblPlacement[CGPA]&gt;=8,"8-9",IF(tblPlacement[CGPA]&gt;=7,"7-8","Below 7")))</f>
        <v>8-9</v>
      </c>
      <c r="M293" t="str">
        <f>IF(tblPlacement[Package_LPA]&gt;=15,"High",IF(tblPlacement[Package_LPA]&gt;=8,"Medium","Low"))</f>
        <v>Low</v>
      </c>
      <c r="N293">
        <f>IF(tblPlacement[Internship]="Yes",1,0)</f>
        <v>0</v>
      </c>
    </row>
    <row r="294" spans="1:14" x14ac:dyDescent="0.3">
      <c r="A294" t="s">
        <v>393</v>
      </c>
      <c r="B294" t="s">
        <v>17</v>
      </c>
      <c r="C294">
        <v>7.6</v>
      </c>
      <c r="D294" t="s">
        <v>11</v>
      </c>
      <c r="E294" t="s">
        <v>18</v>
      </c>
      <c r="F294" t="s">
        <v>13</v>
      </c>
      <c r="G294">
        <v>19.899999999999999</v>
      </c>
      <c r="H294" t="s">
        <v>53</v>
      </c>
      <c r="I294" t="s">
        <v>20</v>
      </c>
      <c r="J294" t="s">
        <v>393</v>
      </c>
      <c r="K294">
        <f>IF(tblPlacement[Placement_Status]="Placed",1,0)</f>
        <v>1</v>
      </c>
      <c r="L294" t="str">
        <f>IF(tblPlacement[CGPA]&gt;=9,"9+", IF(tblPlacement[CGPA]&gt;=8,"8-9",IF(tblPlacement[CGPA]&gt;=7,"7-8","Below 7")))</f>
        <v>7-8</v>
      </c>
      <c r="M294" t="str">
        <f>IF(tblPlacement[Package_LPA]&gt;=15,"High",IF(tblPlacement[Package_LPA]&gt;=8,"Medium","Low"))</f>
        <v>High</v>
      </c>
      <c r="N294">
        <f>IF(tblPlacement[Internship]="Yes",1,0)</f>
        <v>1</v>
      </c>
    </row>
    <row r="295" spans="1:14" x14ac:dyDescent="0.3">
      <c r="A295" t="s">
        <v>394</v>
      </c>
      <c r="B295" t="s">
        <v>17</v>
      </c>
      <c r="C295">
        <v>8.9</v>
      </c>
      <c r="D295" t="s">
        <v>22</v>
      </c>
      <c r="E295" t="s">
        <v>23</v>
      </c>
      <c r="F295" t="s">
        <v>13</v>
      </c>
      <c r="G295">
        <v>6.6</v>
      </c>
      <c r="H295" t="s">
        <v>53</v>
      </c>
      <c r="I295" t="s">
        <v>20</v>
      </c>
      <c r="J295" t="s">
        <v>394</v>
      </c>
      <c r="K295">
        <f>IF(tblPlacement[Placement_Status]="Placed",1,0)</f>
        <v>1</v>
      </c>
      <c r="L295" t="str">
        <f>IF(tblPlacement[CGPA]&gt;=9,"9+", IF(tblPlacement[CGPA]&gt;=8,"8-9",IF(tblPlacement[CGPA]&gt;=7,"7-8","Below 7")))</f>
        <v>8-9</v>
      </c>
      <c r="M295" t="str">
        <f>IF(tblPlacement[Package_LPA]&gt;=15,"High",IF(tblPlacement[Package_LPA]&gt;=8,"Medium","Low"))</f>
        <v>Low</v>
      </c>
      <c r="N295">
        <f>IF(tblPlacement[Internship]="Yes",1,0)</f>
        <v>0</v>
      </c>
    </row>
    <row r="296" spans="1:14" x14ac:dyDescent="0.3">
      <c r="A296" t="s">
        <v>395</v>
      </c>
      <c r="B296" t="s">
        <v>17</v>
      </c>
      <c r="C296">
        <v>7.6</v>
      </c>
      <c r="D296" t="s">
        <v>22</v>
      </c>
      <c r="E296" t="s">
        <v>80</v>
      </c>
      <c r="F296" t="s">
        <v>32</v>
      </c>
      <c r="G296">
        <v>0</v>
      </c>
      <c r="H296" t="s">
        <v>33</v>
      </c>
      <c r="I296" t="s">
        <v>33</v>
      </c>
      <c r="J296" t="s">
        <v>395</v>
      </c>
      <c r="K296">
        <f>IF(tblPlacement[Placement_Status]="Placed",1,0)</f>
        <v>0</v>
      </c>
      <c r="L296" t="str">
        <f>IF(tblPlacement[CGPA]&gt;=9,"9+", IF(tblPlacement[CGPA]&gt;=8,"8-9",IF(tblPlacement[CGPA]&gt;=7,"7-8","Below 7")))</f>
        <v>7-8</v>
      </c>
      <c r="M296" t="str">
        <f>IF(tblPlacement[Package_LPA]&gt;=15,"High",IF(tblPlacement[Package_LPA]&gt;=8,"Medium","Low"))</f>
        <v>Low</v>
      </c>
      <c r="N296">
        <f>IF(tblPlacement[Internship]="Yes",1,0)</f>
        <v>0</v>
      </c>
    </row>
    <row r="297" spans="1:14" x14ac:dyDescent="0.3">
      <c r="A297" t="s">
        <v>396</v>
      </c>
      <c r="B297" t="s">
        <v>17</v>
      </c>
      <c r="C297">
        <v>9.6</v>
      </c>
      <c r="D297" t="s">
        <v>11</v>
      </c>
      <c r="E297" t="s">
        <v>136</v>
      </c>
      <c r="F297" t="s">
        <v>32</v>
      </c>
      <c r="G297">
        <v>0</v>
      </c>
      <c r="H297" t="s">
        <v>33</v>
      </c>
      <c r="I297" t="s">
        <v>33</v>
      </c>
      <c r="J297" t="s">
        <v>396</v>
      </c>
      <c r="K297">
        <f>IF(tblPlacement[Placement_Status]="Placed",1,0)</f>
        <v>0</v>
      </c>
      <c r="L297" t="str">
        <f>IF(tblPlacement[CGPA]&gt;=9,"9+", IF(tblPlacement[CGPA]&gt;=8,"8-9",IF(tblPlacement[CGPA]&gt;=7,"7-8","Below 7")))</f>
        <v>9+</v>
      </c>
      <c r="M297" t="str">
        <f>IF(tblPlacement[Package_LPA]&gt;=15,"High",IF(tblPlacement[Package_LPA]&gt;=8,"Medium","Low"))</f>
        <v>Low</v>
      </c>
      <c r="N297">
        <f>IF(tblPlacement[Internship]="Yes",1,0)</f>
        <v>1</v>
      </c>
    </row>
    <row r="298" spans="1:14" x14ac:dyDescent="0.3">
      <c r="A298" t="s">
        <v>397</v>
      </c>
      <c r="B298" t="s">
        <v>17</v>
      </c>
      <c r="C298">
        <v>8.3000000000000007</v>
      </c>
      <c r="D298" t="s">
        <v>22</v>
      </c>
      <c r="E298" t="s">
        <v>18</v>
      </c>
      <c r="F298" t="s">
        <v>13</v>
      </c>
      <c r="G298">
        <v>12.6</v>
      </c>
      <c r="H298" t="s">
        <v>47</v>
      </c>
      <c r="I298" t="s">
        <v>20</v>
      </c>
      <c r="J298" t="s">
        <v>397</v>
      </c>
      <c r="K298">
        <f>IF(tblPlacement[Placement_Status]="Placed",1,0)</f>
        <v>1</v>
      </c>
      <c r="L298" t="str">
        <f>IF(tblPlacement[CGPA]&gt;=9,"9+", IF(tblPlacement[CGPA]&gt;=8,"8-9",IF(tblPlacement[CGPA]&gt;=7,"7-8","Below 7")))</f>
        <v>8-9</v>
      </c>
      <c r="M298" t="str">
        <f>IF(tblPlacement[Package_LPA]&gt;=15,"High",IF(tblPlacement[Package_LPA]&gt;=8,"Medium","Low"))</f>
        <v>Medium</v>
      </c>
      <c r="N298">
        <f>IF(tblPlacement[Internship]="Yes",1,0)</f>
        <v>0</v>
      </c>
    </row>
    <row r="299" spans="1:14" x14ac:dyDescent="0.3">
      <c r="A299" t="s">
        <v>398</v>
      </c>
      <c r="B299" t="s">
        <v>17</v>
      </c>
      <c r="C299">
        <v>5.2</v>
      </c>
      <c r="D299" t="s">
        <v>11</v>
      </c>
      <c r="E299" t="s">
        <v>76</v>
      </c>
      <c r="F299" t="s">
        <v>32</v>
      </c>
      <c r="G299">
        <v>0</v>
      </c>
      <c r="H299" t="s">
        <v>33</v>
      </c>
      <c r="I299" t="s">
        <v>33</v>
      </c>
      <c r="J299" t="s">
        <v>398</v>
      </c>
      <c r="K299">
        <f>IF(tblPlacement[Placement_Status]="Placed",1,0)</f>
        <v>0</v>
      </c>
      <c r="L299" t="str">
        <f>IF(tblPlacement[CGPA]&gt;=9,"9+", IF(tblPlacement[CGPA]&gt;=8,"8-9",IF(tblPlacement[CGPA]&gt;=7,"7-8","Below 7")))</f>
        <v>Below 7</v>
      </c>
      <c r="M299" t="str">
        <f>IF(tblPlacement[Package_LPA]&gt;=15,"High",IF(tblPlacement[Package_LPA]&gt;=8,"Medium","Low"))</f>
        <v>Low</v>
      </c>
      <c r="N299">
        <f>IF(tblPlacement[Internship]="Yes",1,0)</f>
        <v>1</v>
      </c>
    </row>
    <row r="300" spans="1:14" x14ac:dyDescent="0.3">
      <c r="A300" t="s">
        <v>399</v>
      </c>
      <c r="B300" t="s">
        <v>10</v>
      </c>
      <c r="C300">
        <v>6.7</v>
      </c>
      <c r="D300" t="s">
        <v>22</v>
      </c>
      <c r="E300" t="s">
        <v>112</v>
      </c>
      <c r="F300" t="s">
        <v>32</v>
      </c>
      <c r="G300">
        <v>0</v>
      </c>
      <c r="H300" t="s">
        <v>33</v>
      </c>
      <c r="I300" t="s">
        <v>33</v>
      </c>
      <c r="J300" t="s">
        <v>399</v>
      </c>
      <c r="K300">
        <f>IF(tblPlacement[Placement_Status]="Placed",1,0)</f>
        <v>0</v>
      </c>
      <c r="L300" t="str">
        <f>IF(tblPlacement[CGPA]&gt;=9,"9+", IF(tblPlacement[CGPA]&gt;=8,"8-9",IF(tblPlacement[CGPA]&gt;=7,"7-8","Below 7")))</f>
        <v>Below 7</v>
      </c>
      <c r="M300" t="str">
        <f>IF(tblPlacement[Package_LPA]&gt;=15,"High",IF(tblPlacement[Package_LPA]&gt;=8,"Medium","Low"))</f>
        <v>Low</v>
      </c>
      <c r="N300">
        <f>IF(tblPlacement[Internship]="Yes",1,0)</f>
        <v>0</v>
      </c>
    </row>
    <row r="301" spans="1:14" x14ac:dyDescent="0.3">
      <c r="A301" t="s">
        <v>400</v>
      </c>
      <c r="B301" t="s">
        <v>26</v>
      </c>
      <c r="C301">
        <v>6.3</v>
      </c>
      <c r="D301" t="s">
        <v>22</v>
      </c>
      <c r="E301" t="s">
        <v>84</v>
      </c>
      <c r="F301" t="s">
        <v>13</v>
      </c>
      <c r="G301">
        <v>11.1</v>
      </c>
      <c r="H301" t="s">
        <v>195</v>
      </c>
      <c r="I301" t="s">
        <v>26</v>
      </c>
      <c r="J301" t="s">
        <v>400</v>
      </c>
      <c r="K301">
        <f>IF(tblPlacement[Placement_Status]="Placed",1,0)</f>
        <v>1</v>
      </c>
      <c r="L301" t="str">
        <f>IF(tblPlacement[CGPA]&gt;=9,"9+", IF(tblPlacement[CGPA]&gt;=8,"8-9",IF(tblPlacement[CGPA]&gt;=7,"7-8","Below 7")))</f>
        <v>Below 7</v>
      </c>
      <c r="M301" t="str">
        <f>IF(tblPlacement[Package_LPA]&gt;=15,"High",IF(tblPlacement[Package_LPA]&gt;=8,"Medium","Low"))</f>
        <v>Medium</v>
      </c>
      <c r="N301">
        <f>IF(tblPlacement[Internship]="Yes",1,0)</f>
        <v>0</v>
      </c>
    </row>
    <row r="302" spans="1:14" x14ac:dyDescent="0.3">
      <c r="A302" t="s">
        <v>401</v>
      </c>
      <c r="B302" t="s">
        <v>30</v>
      </c>
      <c r="C302">
        <v>5.4</v>
      </c>
      <c r="D302" t="s">
        <v>22</v>
      </c>
      <c r="E302" t="s">
        <v>23</v>
      </c>
      <c r="F302" t="s">
        <v>13</v>
      </c>
      <c r="G302">
        <v>16.100000000000001</v>
      </c>
      <c r="H302" t="s">
        <v>142</v>
      </c>
      <c r="I302" t="s">
        <v>37</v>
      </c>
      <c r="J302" t="s">
        <v>401</v>
      </c>
      <c r="K302">
        <f>IF(tblPlacement[Placement_Status]="Placed",1,0)</f>
        <v>1</v>
      </c>
      <c r="L302" t="str">
        <f>IF(tblPlacement[CGPA]&gt;=9,"9+", IF(tblPlacement[CGPA]&gt;=8,"8-9",IF(tblPlacement[CGPA]&gt;=7,"7-8","Below 7")))</f>
        <v>Below 7</v>
      </c>
      <c r="M302" t="str">
        <f>IF(tblPlacement[Package_LPA]&gt;=15,"High",IF(tblPlacement[Package_LPA]&gt;=8,"Medium","Low"))</f>
        <v>High</v>
      </c>
      <c r="N302">
        <f>IF(tblPlacement[Internship]="Yes",1,0)</f>
        <v>0</v>
      </c>
    </row>
    <row r="303" spans="1:14" x14ac:dyDescent="0.3">
      <c r="A303" t="s">
        <v>402</v>
      </c>
      <c r="B303" t="s">
        <v>20</v>
      </c>
      <c r="C303">
        <v>7.8</v>
      </c>
      <c r="D303" t="s">
        <v>11</v>
      </c>
      <c r="E303" t="s">
        <v>200</v>
      </c>
      <c r="F303" t="s">
        <v>13</v>
      </c>
      <c r="G303">
        <v>15.5</v>
      </c>
      <c r="H303" t="s">
        <v>47</v>
      </c>
      <c r="I303" t="s">
        <v>20</v>
      </c>
      <c r="J303" t="s">
        <v>402</v>
      </c>
      <c r="K303">
        <f>IF(tblPlacement[Placement_Status]="Placed",1,0)</f>
        <v>1</v>
      </c>
      <c r="L303" t="str">
        <f>IF(tblPlacement[CGPA]&gt;=9,"9+", IF(tblPlacement[CGPA]&gt;=8,"8-9",IF(tblPlacement[CGPA]&gt;=7,"7-8","Below 7")))</f>
        <v>7-8</v>
      </c>
      <c r="M303" t="str">
        <f>IF(tblPlacement[Package_LPA]&gt;=15,"High",IF(tblPlacement[Package_LPA]&gt;=8,"Medium","Low"))</f>
        <v>High</v>
      </c>
      <c r="N303">
        <f>IF(tblPlacement[Internship]="Yes",1,0)</f>
        <v>1</v>
      </c>
    </row>
    <row r="304" spans="1:14" x14ac:dyDescent="0.3">
      <c r="A304" t="s">
        <v>403</v>
      </c>
      <c r="B304" t="s">
        <v>17</v>
      </c>
      <c r="C304">
        <v>9.6999999999999993</v>
      </c>
      <c r="D304" t="s">
        <v>22</v>
      </c>
      <c r="E304" t="s">
        <v>39</v>
      </c>
      <c r="F304" t="s">
        <v>13</v>
      </c>
      <c r="G304">
        <v>17.399999999999999</v>
      </c>
      <c r="H304" t="s">
        <v>19</v>
      </c>
      <c r="I304" t="s">
        <v>20</v>
      </c>
      <c r="J304" t="s">
        <v>403</v>
      </c>
      <c r="K304">
        <f>IF(tblPlacement[Placement_Status]="Placed",1,0)</f>
        <v>1</v>
      </c>
      <c r="L304" t="str">
        <f>IF(tblPlacement[CGPA]&gt;=9,"9+", IF(tblPlacement[CGPA]&gt;=8,"8-9",IF(tblPlacement[CGPA]&gt;=7,"7-8","Below 7")))</f>
        <v>9+</v>
      </c>
      <c r="M304" t="str">
        <f>IF(tblPlacement[Package_LPA]&gt;=15,"High",IF(tblPlacement[Package_LPA]&gt;=8,"Medium","Low"))</f>
        <v>High</v>
      </c>
      <c r="N304">
        <f>IF(tblPlacement[Internship]="Yes",1,0)</f>
        <v>0</v>
      </c>
    </row>
    <row r="305" spans="1:14" x14ac:dyDescent="0.3">
      <c r="A305" t="s">
        <v>404</v>
      </c>
      <c r="B305" t="s">
        <v>20</v>
      </c>
      <c r="C305">
        <v>8.6999999999999993</v>
      </c>
      <c r="D305" t="s">
        <v>22</v>
      </c>
      <c r="E305" t="s">
        <v>200</v>
      </c>
      <c r="F305" t="s">
        <v>32</v>
      </c>
      <c r="G305">
        <v>0</v>
      </c>
      <c r="H305" t="s">
        <v>33</v>
      </c>
      <c r="I305" t="s">
        <v>33</v>
      </c>
      <c r="J305" t="s">
        <v>404</v>
      </c>
      <c r="K305">
        <f>IF(tblPlacement[Placement_Status]="Placed",1,0)</f>
        <v>0</v>
      </c>
      <c r="L305" t="str">
        <f>IF(tblPlacement[CGPA]&gt;=9,"9+", IF(tblPlacement[CGPA]&gt;=8,"8-9",IF(tblPlacement[CGPA]&gt;=7,"7-8","Below 7")))</f>
        <v>8-9</v>
      </c>
      <c r="M305" t="str">
        <f>IF(tblPlacement[Package_LPA]&gt;=15,"High",IF(tblPlacement[Package_LPA]&gt;=8,"Medium","Low"))</f>
        <v>Low</v>
      </c>
      <c r="N305">
        <f>IF(tblPlacement[Internship]="Yes",1,0)</f>
        <v>0</v>
      </c>
    </row>
    <row r="306" spans="1:14" x14ac:dyDescent="0.3">
      <c r="A306" t="s">
        <v>405</v>
      </c>
      <c r="B306" t="s">
        <v>20</v>
      </c>
      <c r="C306">
        <v>8.1</v>
      </c>
      <c r="D306" t="s">
        <v>22</v>
      </c>
      <c r="E306" t="s">
        <v>71</v>
      </c>
      <c r="F306" t="s">
        <v>13</v>
      </c>
      <c r="G306">
        <v>17.600000000000001</v>
      </c>
      <c r="H306" t="s">
        <v>53</v>
      </c>
      <c r="I306" t="s">
        <v>20</v>
      </c>
      <c r="J306" t="s">
        <v>405</v>
      </c>
      <c r="K306">
        <f>IF(tblPlacement[Placement_Status]="Placed",1,0)</f>
        <v>1</v>
      </c>
      <c r="L306" t="str">
        <f>IF(tblPlacement[CGPA]&gt;=9,"9+", IF(tblPlacement[CGPA]&gt;=8,"8-9",IF(tblPlacement[CGPA]&gt;=7,"7-8","Below 7")))</f>
        <v>8-9</v>
      </c>
      <c r="M306" t="str">
        <f>IF(tblPlacement[Package_LPA]&gt;=15,"High",IF(tblPlacement[Package_LPA]&gt;=8,"Medium","Low"))</f>
        <v>High</v>
      </c>
      <c r="N306">
        <f>IF(tblPlacement[Internship]="Yes",1,0)</f>
        <v>0</v>
      </c>
    </row>
    <row r="307" spans="1:14" x14ac:dyDescent="0.3">
      <c r="A307" t="s">
        <v>406</v>
      </c>
      <c r="B307" t="s">
        <v>20</v>
      </c>
      <c r="C307">
        <v>8.3000000000000007</v>
      </c>
      <c r="D307" t="s">
        <v>22</v>
      </c>
      <c r="E307" t="s">
        <v>23</v>
      </c>
      <c r="F307" t="s">
        <v>32</v>
      </c>
      <c r="G307">
        <v>0</v>
      </c>
      <c r="H307" t="s">
        <v>33</v>
      </c>
      <c r="I307" t="s">
        <v>33</v>
      </c>
      <c r="J307" t="s">
        <v>406</v>
      </c>
      <c r="K307">
        <f>IF(tblPlacement[Placement_Status]="Placed",1,0)</f>
        <v>0</v>
      </c>
      <c r="L307" t="str">
        <f>IF(tblPlacement[CGPA]&gt;=9,"9+", IF(tblPlacement[CGPA]&gt;=8,"8-9",IF(tblPlacement[CGPA]&gt;=7,"7-8","Below 7")))</f>
        <v>8-9</v>
      </c>
      <c r="M307" t="str">
        <f>IF(tblPlacement[Package_LPA]&gt;=15,"High",IF(tblPlacement[Package_LPA]&gt;=8,"Medium","Low"))</f>
        <v>Low</v>
      </c>
      <c r="N307">
        <f>IF(tblPlacement[Internship]="Yes",1,0)</f>
        <v>0</v>
      </c>
    </row>
    <row r="308" spans="1:14" x14ac:dyDescent="0.3">
      <c r="A308" t="s">
        <v>407</v>
      </c>
      <c r="B308" t="s">
        <v>20</v>
      </c>
      <c r="C308">
        <v>6.3</v>
      </c>
      <c r="D308" t="s">
        <v>11</v>
      </c>
      <c r="E308" t="s">
        <v>80</v>
      </c>
      <c r="F308" t="s">
        <v>13</v>
      </c>
      <c r="G308">
        <v>9.1</v>
      </c>
      <c r="H308" t="s">
        <v>47</v>
      </c>
      <c r="I308" t="s">
        <v>20</v>
      </c>
      <c r="J308" t="s">
        <v>407</v>
      </c>
      <c r="K308">
        <f>IF(tblPlacement[Placement_Status]="Placed",1,0)</f>
        <v>1</v>
      </c>
      <c r="L308" t="str">
        <f>IF(tblPlacement[CGPA]&gt;=9,"9+", IF(tblPlacement[CGPA]&gt;=8,"8-9",IF(tblPlacement[CGPA]&gt;=7,"7-8","Below 7")))</f>
        <v>Below 7</v>
      </c>
      <c r="M308" t="str">
        <f>IF(tblPlacement[Package_LPA]&gt;=15,"High",IF(tblPlacement[Package_LPA]&gt;=8,"Medium","Low"))</f>
        <v>Medium</v>
      </c>
      <c r="N308">
        <f>IF(tblPlacement[Internship]="Yes",1,0)</f>
        <v>1</v>
      </c>
    </row>
    <row r="309" spans="1:14" x14ac:dyDescent="0.3">
      <c r="A309" t="s">
        <v>408</v>
      </c>
      <c r="B309" t="s">
        <v>17</v>
      </c>
      <c r="C309">
        <v>5.2</v>
      </c>
      <c r="D309" t="s">
        <v>11</v>
      </c>
      <c r="E309" t="s">
        <v>39</v>
      </c>
      <c r="F309" t="s">
        <v>32</v>
      </c>
      <c r="G309">
        <v>0</v>
      </c>
      <c r="H309" t="s">
        <v>33</v>
      </c>
      <c r="I309" t="s">
        <v>33</v>
      </c>
      <c r="J309" t="s">
        <v>408</v>
      </c>
      <c r="K309">
        <f>IF(tblPlacement[Placement_Status]="Placed",1,0)</f>
        <v>0</v>
      </c>
      <c r="L309" t="str">
        <f>IF(tblPlacement[CGPA]&gt;=9,"9+", IF(tblPlacement[CGPA]&gt;=8,"8-9",IF(tblPlacement[CGPA]&gt;=7,"7-8","Below 7")))</f>
        <v>Below 7</v>
      </c>
      <c r="M309" t="str">
        <f>IF(tblPlacement[Package_LPA]&gt;=15,"High",IF(tblPlacement[Package_LPA]&gt;=8,"Medium","Low"))</f>
        <v>Low</v>
      </c>
      <c r="N309">
        <f>IF(tblPlacement[Internship]="Yes",1,0)</f>
        <v>1</v>
      </c>
    </row>
    <row r="310" spans="1:14" x14ac:dyDescent="0.3">
      <c r="A310" t="s">
        <v>409</v>
      </c>
      <c r="B310" t="s">
        <v>17</v>
      </c>
      <c r="C310">
        <v>5.6</v>
      </c>
      <c r="D310" t="s">
        <v>11</v>
      </c>
      <c r="E310" t="s">
        <v>86</v>
      </c>
      <c r="F310" t="s">
        <v>13</v>
      </c>
      <c r="G310">
        <v>12.8</v>
      </c>
      <c r="H310" t="s">
        <v>115</v>
      </c>
      <c r="I310" t="s">
        <v>20</v>
      </c>
      <c r="J310" t="s">
        <v>409</v>
      </c>
      <c r="K310">
        <f>IF(tblPlacement[Placement_Status]="Placed",1,0)</f>
        <v>1</v>
      </c>
      <c r="L310" t="str">
        <f>IF(tblPlacement[CGPA]&gt;=9,"9+", IF(tblPlacement[CGPA]&gt;=8,"8-9",IF(tblPlacement[CGPA]&gt;=7,"7-8","Below 7")))</f>
        <v>Below 7</v>
      </c>
      <c r="M310" t="str">
        <f>IF(tblPlacement[Package_LPA]&gt;=15,"High",IF(tblPlacement[Package_LPA]&gt;=8,"Medium","Low"))</f>
        <v>Medium</v>
      </c>
      <c r="N310">
        <f>IF(tblPlacement[Internship]="Yes",1,0)</f>
        <v>1</v>
      </c>
    </row>
    <row r="311" spans="1:14" x14ac:dyDescent="0.3">
      <c r="A311" t="s">
        <v>410</v>
      </c>
      <c r="B311" t="s">
        <v>30</v>
      </c>
      <c r="C311">
        <v>8.8000000000000007</v>
      </c>
      <c r="D311" t="s">
        <v>22</v>
      </c>
      <c r="E311" t="s">
        <v>285</v>
      </c>
      <c r="F311" t="s">
        <v>13</v>
      </c>
      <c r="G311">
        <v>12</v>
      </c>
      <c r="H311" t="s">
        <v>89</v>
      </c>
      <c r="I311" t="s">
        <v>37</v>
      </c>
      <c r="J311" t="s">
        <v>410</v>
      </c>
      <c r="K311">
        <f>IF(tblPlacement[Placement_Status]="Placed",1,0)</f>
        <v>1</v>
      </c>
      <c r="L311" t="str">
        <f>IF(tblPlacement[CGPA]&gt;=9,"9+", IF(tblPlacement[CGPA]&gt;=8,"8-9",IF(tblPlacement[CGPA]&gt;=7,"7-8","Below 7")))</f>
        <v>8-9</v>
      </c>
      <c r="M311" t="str">
        <f>IF(tblPlacement[Package_LPA]&gt;=15,"High",IF(tblPlacement[Package_LPA]&gt;=8,"Medium","Low"))</f>
        <v>Medium</v>
      </c>
      <c r="N311">
        <f>IF(tblPlacement[Internship]="Yes",1,0)</f>
        <v>0</v>
      </c>
    </row>
    <row r="312" spans="1:14" x14ac:dyDescent="0.3">
      <c r="A312" t="s">
        <v>411</v>
      </c>
      <c r="B312" t="s">
        <v>17</v>
      </c>
      <c r="C312">
        <v>7</v>
      </c>
      <c r="D312" t="s">
        <v>11</v>
      </c>
      <c r="E312" t="s">
        <v>80</v>
      </c>
      <c r="F312" t="s">
        <v>13</v>
      </c>
      <c r="G312">
        <v>6.8</v>
      </c>
      <c r="H312" t="s">
        <v>72</v>
      </c>
      <c r="I312" t="s">
        <v>20</v>
      </c>
      <c r="J312" t="s">
        <v>411</v>
      </c>
      <c r="K312">
        <f>IF(tblPlacement[Placement_Status]="Placed",1,0)</f>
        <v>1</v>
      </c>
      <c r="L312" t="str">
        <f>IF(tblPlacement[CGPA]&gt;=9,"9+", IF(tblPlacement[CGPA]&gt;=8,"8-9",IF(tblPlacement[CGPA]&gt;=7,"7-8","Below 7")))</f>
        <v>7-8</v>
      </c>
      <c r="M312" t="str">
        <f>IF(tblPlacement[Package_LPA]&gt;=15,"High",IF(tblPlacement[Package_LPA]&gt;=8,"Medium","Low"))</f>
        <v>Low</v>
      </c>
      <c r="N312">
        <f>IF(tblPlacement[Internship]="Yes",1,0)</f>
        <v>1</v>
      </c>
    </row>
    <row r="313" spans="1:14" x14ac:dyDescent="0.3">
      <c r="A313" t="s">
        <v>412</v>
      </c>
      <c r="B313" t="s">
        <v>17</v>
      </c>
      <c r="C313">
        <v>6.6</v>
      </c>
      <c r="D313" t="s">
        <v>22</v>
      </c>
      <c r="E313" t="s">
        <v>39</v>
      </c>
      <c r="F313" t="s">
        <v>13</v>
      </c>
      <c r="G313">
        <v>12.8</v>
      </c>
      <c r="H313" t="s">
        <v>81</v>
      </c>
      <c r="I313" t="s">
        <v>20</v>
      </c>
      <c r="J313" t="s">
        <v>412</v>
      </c>
      <c r="K313">
        <f>IF(tblPlacement[Placement_Status]="Placed",1,0)</f>
        <v>1</v>
      </c>
      <c r="L313" t="str">
        <f>IF(tblPlacement[CGPA]&gt;=9,"9+", IF(tblPlacement[CGPA]&gt;=8,"8-9",IF(tblPlacement[CGPA]&gt;=7,"7-8","Below 7")))</f>
        <v>Below 7</v>
      </c>
      <c r="M313" t="str">
        <f>IF(tblPlacement[Package_LPA]&gt;=15,"High",IF(tblPlacement[Package_LPA]&gt;=8,"Medium","Low"))</f>
        <v>Medium</v>
      </c>
      <c r="N313">
        <f>IF(tblPlacement[Internship]="Yes",1,0)</f>
        <v>0</v>
      </c>
    </row>
    <row r="314" spans="1:14" x14ac:dyDescent="0.3">
      <c r="A314" t="s">
        <v>413</v>
      </c>
      <c r="B314" t="s">
        <v>17</v>
      </c>
      <c r="C314">
        <v>5.7</v>
      </c>
      <c r="D314" t="s">
        <v>11</v>
      </c>
      <c r="E314" t="s">
        <v>86</v>
      </c>
      <c r="F314" t="s">
        <v>13</v>
      </c>
      <c r="G314">
        <v>11</v>
      </c>
      <c r="H314" t="s">
        <v>115</v>
      </c>
      <c r="I314" t="s">
        <v>20</v>
      </c>
      <c r="J314" t="s">
        <v>413</v>
      </c>
      <c r="K314">
        <f>IF(tblPlacement[Placement_Status]="Placed",1,0)</f>
        <v>1</v>
      </c>
      <c r="L314" t="str">
        <f>IF(tblPlacement[CGPA]&gt;=9,"9+", IF(tblPlacement[CGPA]&gt;=8,"8-9",IF(tblPlacement[CGPA]&gt;=7,"7-8","Below 7")))</f>
        <v>Below 7</v>
      </c>
      <c r="M314" t="str">
        <f>IF(tblPlacement[Package_LPA]&gt;=15,"High",IF(tblPlacement[Package_LPA]&gt;=8,"Medium","Low"))</f>
        <v>Medium</v>
      </c>
      <c r="N314">
        <f>IF(tblPlacement[Internship]="Yes",1,0)</f>
        <v>1</v>
      </c>
    </row>
    <row r="315" spans="1:14" x14ac:dyDescent="0.3">
      <c r="A315" t="s">
        <v>414</v>
      </c>
      <c r="B315" t="s">
        <v>20</v>
      </c>
      <c r="C315">
        <v>9</v>
      </c>
      <c r="D315" t="s">
        <v>22</v>
      </c>
      <c r="E315" t="s">
        <v>39</v>
      </c>
      <c r="F315" t="s">
        <v>13</v>
      </c>
      <c r="G315">
        <v>9.1999999999999993</v>
      </c>
      <c r="H315" t="s">
        <v>81</v>
      </c>
      <c r="I315" t="s">
        <v>20</v>
      </c>
      <c r="J315" t="s">
        <v>414</v>
      </c>
      <c r="K315">
        <f>IF(tblPlacement[Placement_Status]="Placed",1,0)</f>
        <v>1</v>
      </c>
      <c r="L315" t="str">
        <f>IF(tblPlacement[CGPA]&gt;=9,"9+", IF(tblPlacement[CGPA]&gt;=8,"8-9",IF(tblPlacement[CGPA]&gt;=7,"7-8","Below 7")))</f>
        <v>9+</v>
      </c>
      <c r="M315" t="str">
        <f>IF(tblPlacement[Package_LPA]&gt;=15,"High",IF(tblPlacement[Package_LPA]&gt;=8,"Medium","Low"))</f>
        <v>Medium</v>
      </c>
      <c r="N315">
        <f>IF(tblPlacement[Internship]="Yes",1,0)</f>
        <v>0</v>
      </c>
    </row>
    <row r="316" spans="1:14" x14ac:dyDescent="0.3">
      <c r="A316" t="s">
        <v>415</v>
      </c>
      <c r="B316" t="s">
        <v>131</v>
      </c>
      <c r="C316">
        <v>9.6999999999999993</v>
      </c>
      <c r="D316" t="s">
        <v>11</v>
      </c>
      <c r="E316" t="s">
        <v>132</v>
      </c>
      <c r="F316" t="s">
        <v>32</v>
      </c>
      <c r="G316">
        <v>0</v>
      </c>
      <c r="H316" t="s">
        <v>33</v>
      </c>
      <c r="I316" t="s">
        <v>33</v>
      </c>
      <c r="J316" t="s">
        <v>415</v>
      </c>
      <c r="K316">
        <f>IF(tblPlacement[Placement_Status]="Placed",1,0)</f>
        <v>0</v>
      </c>
      <c r="L316" t="str">
        <f>IF(tblPlacement[CGPA]&gt;=9,"9+", IF(tblPlacement[CGPA]&gt;=8,"8-9",IF(tblPlacement[CGPA]&gt;=7,"7-8","Below 7")))</f>
        <v>9+</v>
      </c>
      <c r="M316" t="str">
        <f>IF(tblPlacement[Package_LPA]&gt;=15,"High",IF(tblPlacement[Package_LPA]&gt;=8,"Medium","Low"))</f>
        <v>Low</v>
      </c>
      <c r="N316">
        <f>IF(tblPlacement[Internship]="Yes",1,0)</f>
        <v>1</v>
      </c>
    </row>
    <row r="317" spans="1:14" x14ac:dyDescent="0.3">
      <c r="A317" t="s">
        <v>416</v>
      </c>
      <c r="B317" t="s">
        <v>43</v>
      </c>
      <c r="C317">
        <v>6.7</v>
      </c>
      <c r="D317" t="s">
        <v>11</v>
      </c>
      <c r="E317" t="s">
        <v>60</v>
      </c>
      <c r="F317" t="s">
        <v>13</v>
      </c>
      <c r="G317">
        <v>11.8</v>
      </c>
      <c r="H317" t="s">
        <v>95</v>
      </c>
      <c r="I317" t="s">
        <v>43</v>
      </c>
      <c r="J317" t="s">
        <v>416</v>
      </c>
      <c r="K317">
        <f>IF(tblPlacement[Placement_Status]="Placed",1,0)</f>
        <v>1</v>
      </c>
      <c r="L317" t="str">
        <f>IF(tblPlacement[CGPA]&gt;=9,"9+", IF(tblPlacement[CGPA]&gt;=8,"8-9",IF(tblPlacement[CGPA]&gt;=7,"7-8","Below 7")))</f>
        <v>Below 7</v>
      </c>
      <c r="M317" t="str">
        <f>IF(tblPlacement[Package_LPA]&gt;=15,"High",IF(tblPlacement[Package_LPA]&gt;=8,"Medium","Low"))</f>
        <v>Medium</v>
      </c>
      <c r="N317">
        <f>IF(tblPlacement[Internship]="Yes",1,0)</f>
        <v>1</v>
      </c>
    </row>
    <row r="318" spans="1:14" x14ac:dyDescent="0.3">
      <c r="A318" t="s">
        <v>417</v>
      </c>
      <c r="B318" t="s">
        <v>30</v>
      </c>
      <c r="C318">
        <v>9.6</v>
      </c>
      <c r="D318" t="s">
        <v>11</v>
      </c>
      <c r="E318" t="s">
        <v>18</v>
      </c>
      <c r="F318" t="s">
        <v>13</v>
      </c>
      <c r="G318">
        <v>20.399999999999999</v>
      </c>
      <c r="H318" t="s">
        <v>72</v>
      </c>
      <c r="I318" t="s">
        <v>20</v>
      </c>
      <c r="J318" t="s">
        <v>417</v>
      </c>
      <c r="K318">
        <f>IF(tblPlacement[Placement_Status]="Placed",1,0)</f>
        <v>1</v>
      </c>
      <c r="L318" t="str">
        <f>IF(tblPlacement[CGPA]&gt;=9,"9+", IF(tblPlacement[CGPA]&gt;=8,"8-9",IF(tblPlacement[CGPA]&gt;=7,"7-8","Below 7")))</f>
        <v>9+</v>
      </c>
      <c r="M318" t="str">
        <f>IF(tblPlacement[Package_LPA]&gt;=15,"High",IF(tblPlacement[Package_LPA]&gt;=8,"Medium","Low"))</f>
        <v>High</v>
      </c>
      <c r="N318">
        <f>IF(tblPlacement[Internship]="Yes",1,0)</f>
        <v>1</v>
      </c>
    </row>
    <row r="319" spans="1:14" x14ac:dyDescent="0.3">
      <c r="A319" t="s">
        <v>418</v>
      </c>
      <c r="B319" t="s">
        <v>20</v>
      </c>
      <c r="C319">
        <v>7.5</v>
      </c>
      <c r="D319" t="s">
        <v>22</v>
      </c>
      <c r="E319" t="s">
        <v>86</v>
      </c>
      <c r="F319" t="s">
        <v>13</v>
      </c>
      <c r="G319">
        <v>16.2</v>
      </c>
      <c r="H319" t="s">
        <v>47</v>
      </c>
      <c r="I319" t="s">
        <v>20</v>
      </c>
      <c r="J319" t="s">
        <v>418</v>
      </c>
      <c r="K319">
        <f>IF(tblPlacement[Placement_Status]="Placed",1,0)</f>
        <v>1</v>
      </c>
      <c r="L319" t="str">
        <f>IF(tblPlacement[CGPA]&gt;=9,"9+", IF(tblPlacement[CGPA]&gt;=8,"8-9",IF(tblPlacement[CGPA]&gt;=7,"7-8","Below 7")))</f>
        <v>7-8</v>
      </c>
      <c r="M319" t="str">
        <f>IF(tblPlacement[Package_LPA]&gt;=15,"High",IF(tblPlacement[Package_LPA]&gt;=8,"Medium","Low"))</f>
        <v>High</v>
      </c>
      <c r="N319">
        <f>IF(tblPlacement[Internship]="Yes",1,0)</f>
        <v>0</v>
      </c>
    </row>
    <row r="320" spans="1:14" x14ac:dyDescent="0.3">
      <c r="A320" t="s">
        <v>419</v>
      </c>
      <c r="B320" t="s">
        <v>17</v>
      </c>
      <c r="C320">
        <v>9.8000000000000007</v>
      </c>
      <c r="D320" t="s">
        <v>11</v>
      </c>
      <c r="E320" t="s">
        <v>86</v>
      </c>
      <c r="F320" t="s">
        <v>13</v>
      </c>
      <c r="G320">
        <v>8</v>
      </c>
      <c r="H320" t="s">
        <v>53</v>
      </c>
      <c r="I320" t="s">
        <v>20</v>
      </c>
      <c r="J320" t="s">
        <v>419</v>
      </c>
      <c r="K320">
        <f>IF(tblPlacement[Placement_Status]="Placed",1,0)</f>
        <v>1</v>
      </c>
      <c r="L320" t="str">
        <f>IF(tblPlacement[CGPA]&gt;=9,"9+", IF(tblPlacement[CGPA]&gt;=8,"8-9",IF(tblPlacement[CGPA]&gt;=7,"7-8","Below 7")))</f>
        <v>9+</v>
      </c>
      <c r="M320" t="str">
        <f>IF(tblPlacement[Package_LPA]&gt;=15,"High",IF(tblPlacement[Package_LPA]&gt;=8,"Medium","Low"))</f>
        <v>Medium</v>
      </c>
      <c r="N320">
        <f>IF(tblPlacement[Internship]="Yes",1,0)</f>
        <v>1</v>
      </c>
    </row>
    <row r="321" spans="1:14" x14ac:dyDescent="0.3">
      <c r="A321" t="s">
        <v>420</v>
      </c>
      <c r="B321" t="s">
        <v>10</v>
      </c>
      <c r="C321">
        <v>8.9</v>
      </c>
      <c r="D321" t="s">
        <v>22</v>
      </c>
      <c r="E321" t="s">
        <v>112</v>
      </c>
      <c r="F321" t="s">
        <v>13</v>
      </c>
      <c r="G321">
        <v>6.4</v>
      </c>
      <c r="H321" t="s">
        <v>224</v>
      </c>
      <c r="I321" t="s">
        <v>15</v>
      </c>
      <c r="J321" t="s">
        <v>420</v>
      </c>
      <c r="K321">
        <f>IF(tblPlacement[Placement_Status]="Placed",1,0)</f>
        <v>1</v>
      </c>
      <c r="L321" t="str">
        <f>IF(tblPlacement[CGPA]&gt;=9,"9+", IF(tblPlacement[CGPA]&gt;=8,"8-9",IF(tblPlacement[CGPA]&gt;=7,"7-8","Below 7")))</f>
        <v>8-9</v>
      </c>
      <c r="M321" t="str">
        <f>IF(tblPlacement[Package_LPA]&gt;=15,"High",IF(tblPlacement[Package_LPA]&gt;=8,"Medium","Low"))</f>
        <v>Low</v>
      </c>
      <c r="N321">
        <f>IF(tblPlacement[Internship]="Yes",1,0)</f>
        <v>0</v>
      </c>
    </row>
    <row r="322" spans="1:14" x14ac:dyDescent="0.3">
      <c r="A322" t="s">
        <v>421</v>
      </c>
      <c r="B322" t="s">
        <v>30</v>
      </c>
      <c r="C322">
        <v>7.8</v>
      </c>
      <c r="D322" t="s">
        <v>22</v>
      </c>
      <c r="E322" t="s">
        <v>141</v>
      </c>
      <c r="F322" t="s">
        <v>32</v>
      </c>
      <c r="G322">
        <v>0</v>
      </c>
      <c r="H322" t="s">
        <v>33</v>
      </c>
      <c r="I322" t="s">
        <v>33</v>
      </c>
      <c r="J322" t="s">
        <v>421</v>
      </c>
      <c r="K322">
        <f>IF(tblPlacement[Placement_Status]="Placed",1,0)</f>
        <v>0</v>
      </c>
      <c r="L322" t="str">
        <f>IF(tblPlacement[CGPA]&gt;=9,"9+", IF(tblPlacement[CGPA]&gt;=8,"8-9",IF(tblPlacement[CGPA]&gt;=7,"7-8","Below 7")))</f>
        <v>7-8</v>
      </c>
      <c r="M322" t="str">
        <f>IF(tblPlacement[Package_LPA]&gt;=15,"High",IF(tblPlacement[Package_LPA]&gt;=8,"Medium","Low"))</f>
        <v>Low</v>
      </c>
      <c r="N322">
        <f>IF(tblPlacement[Internship]="Yes",1,0)</f>
        <v>0</v>
      </c>
    </row>
    <row r="323" spans="1:14" x14ac:dyDescent="0.3">
      <c r="A323" t="s">
        <v>422</v>
      </c>
      <c r="B323" t="s">
        <v>20</v>
      </c>
      <c r="C323">
        <v>8.9</v>
      </c>
      <c r="D323" t="s">
        <v>11</v>
      </c>
      <c r="E323" t="s">
        <v>23</v>
      </c>
      <c r="F323" t="s">
        <v>13</v>
      </c>
      <c r="G323">
        <v>12.5</v>
      </c>
      <c r="H323" t="s">
        <v>81</v>
      </c>
      <c r="I323" t="s">
        <v>20</v>
      </c>
      <c r="J323" t="s">
        <v>422</v>
      </c>
      <c r="K323">
        <f>IF(tblPlacement[Placement_Status]="Placed",1,0)</f>
        <v>1</v>
      </c>
      <c r="L323" t="str">
        <f>IF(tblPlacement[CGPA]&gt;=9,"9+", IF(tblPlacement[CGPA]&gt;=8,"8-9",IF(tblPlacement[CGPA]&gt;=7,"7-8","Below 7")))</f>
        <v>8-9</v>
      </c>
      <c r="M323" t="str">
        <f>IF(tblPlacement[Package_LPA]&gt;=15,"High",IF(tblPlacement[Package_LPA]&gt;=8,"Medium","Low"))</f>
        <v>Medium</v>
      </c>
      <c r="N323">
        <f>IF(tblPlacement[Internship]="Yes",1,0)</f>
        <v>1</v>
      </c>
    </row>
    <row r="324" spans="1:14" x14ac:dyDescent="0.3">
      <c r="A324" t="s">
        <v>423</v>
      </c>
      <c r="B324" t="s">
        <v>10</v>
      </c>
      <c r="C324">
        <v>8.4</v>
      </c>
      <c r="D324" t="s">
        <v>11</v>
      </c>
      <c r="E324" t="s">
        <v>185</v>
      </c>
      <c r="F324" t="s">
        <v>13</v>
      </c>
      <c r="G324">
        <v>6</v>
      </c>
      <c r="H324" t="s">
        <v>14</v>
      </c>
      <c r="I324" t="s">
        <v>15</v>
      </c>
      <c r="J324" t="s">
        <v>423</v>
      </c>
      <c r="K324">
        <f>IF(tblPlacement[Placement_Status]="Placed",1,0)</f>
        <v>1</v>
      </c>
      <c r="L324" t="str">
        <f>IF(tblPlacement[CGPA]&gt;=9,"9+", IF(tblPlacement[CGPA]&gt;=8,"8-9",IF(tblPlacement[CGPA]&gt;=7,"7-8","Below 7")))</f>
        <v>8-9</v>
      </c>
      <c r="M324" t="str">
        <f>IF(tblPlacement[Package_LPA]&gt;=15,"High",IF(tblPlacement[Package_LPA]&gt;=8,"Medium","Low"))</f>
        <v>Low</v>
      </c>
      <c r="N324">
        <f>IF(tblPlacement[Internship]="Yes",1,0)</f>
        <v>1</v>
      </c>
    </row>
    <row r="325" spans="1:14" x14ac:dyDescent="0.3">
      <c r="A325" t="s">
        <v>424</v>
      </c>
      <c r="B325" t="s">
        <v>26</v>
      </c>
      <c r="C325">
        <v>5.9</v>
      </c>
      <c r="D325" t="s">
        <v>11</v>
      </c>
      <c r="E325" t="s">
        <v>84</v>
      </c>
      <c r="F325" t="s">
        <v>32</v>
      </c>
      <c r="G325">
        <v>0</v>
      </c>
      <c r="H325" t="s">
        <v>33</v>
      </c>
      <c r="I325" t="s">
        <v>33</v>
      </c>
      <c r="J325" t="s">
        <v>424</v>
      </c>
      <c r="K325">
        <f>IF(tblPlacement[Placement_Status]="Placed",1,0)</f>
        <v>0</v>
      </c>
      <c r="L325" t="str">
        <f>IF(tblPlacement[CGPA]&gt;=9,"9+", IF(tblPlacement[CGPA]&gt;=8,"8-9",IF(tblPlacement[CGPA]&gt;=7,"7-8","Below 7")))</f>
        <v>Below 7</v>
      </c>
      <c r="M325" t="str">
        <f>IF(tblPlacement[Package_LPA]&gt;=15,"High",IF(tblPlacement[Package_LPA]&gt;=8,"Medium","Low"))</f>
        <v>Low</v>
      </c>
      <c r="N325">
        <f>IF(tblPlacement[Internship]="Yes",1,0)</f>
        <v>1</v>
      </c>
    </row>
    <row r="326" spans="1:14" x14ac:dyDescent="0.3">
      <c r="A326" t="s">
        <v>425</v>
      </c>
      <c r="B326" t="s">
        <v>30</v>
      </c>
      <c r="C326">
        <v>6.8</v>
      </c>
      <c r="D326" t="s">
        <v>11</v>
      </c>
      <c r="E326" t="s">
        <v>335</v>
      </c>
      <c r="F326" t="s">
        <v>13</v>
      </c>
      <c r="G326">
        <v>4.5999999999999996</v>
      </c>
      <c r="H326" t="s">
        <v>36</v>
      </c>
      <c r="I326" t="s">
        <v>37</v>
      </c>
      <c r="J326" t="s">
        <v>425</v>
      </c>
      <c r="K326">
        <f>IF(tblPlacement[Placement_Status]="Placed",1,0)</f>
        <v>1</v>
      </c>
      <c r="L326" t="str">
        <f>IF(tblPlacement[CGPA]&gt;=9,"9+", IF(tblPlacement[CGPA]&gt;=8,"8-9",IF(tblPlacement[CGPA]&gt;=7,"7-8","Below 7")))</f>
        <v>Below 7</v>
      </c>
      <c r="M326" t="str">
        <f>IF(tblPlacement[Package_LPA]&gt;=15,"High",IF(tblPlacement[Package_LPA]&gt;=8,"Medium","Low"))</f>
        <v>Low</v>
      </c>
      <c r="N326">
        <f>IF(tblPlacement[Internship]="Yes",1,0)</f>
        <v>1</v>
      </c>
    </row>
    <row r="327" spans="1:14" x14ac:dyDescent="0.3">
      <c r="A327" t="s">
        <v>426</v>
      </c>
      <c r="B327" t="s">
        <v>20</v>
      </c>
      <c r="C327">
        <v>5.7</v>
      </c>
      <c r="D327" t="s">
        <v>22</v>
      </c>
      <c r="E327" t="s">
        <v>86</v>
      </c>
      <c r="F327" t="s">
        <v>13</v>
      </c>
      <c r="G327">
        <v>12.3</v>
      </c>
      <c r="H327" t="s">
        <v>115</v>
      </c>
      <c r="I327" t="s">
        <v>20</v>
      </c>
      <c r="J327" t="s">
        <v>426</v>
      </c>
      <c r="K327">
        <f>IF(tblPlacement[Placement_Status]="Placed",1,0)</f>
        <v>1</v>
      </c>
      <c r="L327" t="str">
        <f>IF(tblPlacement[CGPA]&gt;=9,"9+", IF(tblPlacement[CGPA]&gt;=8,"8-9",IF(tblPlacement[CGPA]&gt;=7,"7-8","Below 7")))</f>
        <v>Below 7</v>
      </c>
      <c r="M327" t="str">
        <f>IF(tblPlacement[Package_LPA]&gt;=15,"High",IF(tblPlacement[Package_LPA]&gt;=8,"Medium","Low"))</f>
        <v>Medium</v>
      </c>
      <c r="N327">
        <f>IF(tblPlacement[Internship]="Yes",1,0)</f>
        <v>0</v>
      </c>
    </row>
    <row r="328" spans="1:14" x14ac:dyDescent="0.3">
      <c r="A328" t="s">
        <v>427</v>
      </c>
      <c r="B328" t="s">
        <v>26</v>
      </c>
      <c r="C328">
        <v>6.3</v>
      </c>
      <c r="D328" t="s">
        <v>11</v>
      </c>
      <c r="E328" t="s">
        <v>97</v>
      </c>
      <c r="F328" t="s">
        <v>13</v>
      </c>
      <c r="G328">
        <v>10.9</v>
      </c>
      <c r="H328" t="s">
        <v>28</v>
      </c>
      <c r="I328" t="s">
        <v>26</v>
      </c>
      <c r="J328" t="s">
        <v>427</v>
      </c>
      <c r="K328">
        <f>IF(tblPlacement[Placement_Status]="Placed",1,0)</f>
        <v>1</v>
      </c>
      <c r="L328" t="str">
        <f>IF(tblPlacement[CGPA]&gt;=9,"9+", IF(tblPlacement[CGPA]&gt;=8,"8-9",IF(tblPlacement[CGPA]&gt;=7,"7-8","Below 7")))</f>
        <v>Below 7</v>
      </c>
      <c r="M328" t="str">
        <f>IF(tblPlacement[Package_LPA]&gt;=15,"High",IF(tblPlacement[Package_LPA]&gt;=8,"Medium","Low"))</f>
        <v>Medium</v>
      </c>
      <c r="N328">
        <f>IF(tblPlacement[Internship]="Yes",1,0)</f>
        <v>1</v>
      </c>
    </row>
    <row r="329" spans="1:14" x14ac:dyDescent="0.3">
      <c r="A329" t="s">
        <v>428</v>
      </c>
      <c r="B329" t="s">
        <v>26</v>
      </c>
      <c r="C329">
        <v>7.3</v>
      </c>
      <c r="D329" t="s">
        <v>11</v>
      </c>
      <c r="E329" t="s">
        <v>44</v>
      </c>
      <c r="F329" t="s">
        <v>32</v>
      </c>
      <c r="G329">
        <v>0</v>
      </c>
      <c r="H329" t="s">
        <v>33</v>
      </c>
      <c r="I329" t="s">
        <v>33</v>
      </c>
      <c r="J329" t="s">
        <v>428</v>
      </c>
      <c r="K329">
        <f>IF(tblPlacement[Placement_Status]="Placed",1,0)</f>
        <v>0</v>
      </c>
      <c r="L329" t="str">
        <f>IF(tblPlacement[CGPA]&gt;=9,"9+", IF(tblPlacement[CGPA]&gt;=8,"8-9",IF(tblPlacement[CGPA]&gt;=7,"7-8","Below 7")))</f>
        <v>7-8</v>
      </c>
      <c r="M329" t="str">
        <f>IF(tblPlacement[Package_LPA]&gt;=15,"High",IF(tblPlacement[Package_LPA]&gt;=8,"Medium","Low"))</f>
        <v>Low</v>
      </c>
      <c r="N329">
        <f>IF(tblPlacement[Internship]="Yes",1,0)</f>
        <v>1</v>
      </c>
    </row>
    <row r="330" spans="1:14" x14ac:dyDescent="0.3">
      <c r="A330" t="s">
        <v>429</v>
      </c>
      <c r="B330" t="s">
        <v>17</v>
      </c>
      <c r="C330">
        <v>8.6999999999999993</v>
      </c>
      <c r="D330" t="s">
        <v>22</v>
      </c>
      <c r="E330" t="s">
        <v>46</v>
      </c>
      <c r="F330" t="s">
        <v>13</v>
      </c>
      <c r="G330">
        <v>8.8000000000000007</v>
      </c>
      <c r="H330" t="s">
        <v>115</v>
      </c>
      <c r="I330" t="s">
        <v>20</v>
      </c>
      <c r="J330" t="s">
        <v>429</v>
      </c>
      <c r="K330">
        <f>IF(tblPlacement[Placement_Status]="Placed",1,0)</f>
        <v>1</v>
      </c>
      <c r="L330" t="str">
        <f>IF(tblPlacement[CGPA]&gt;=9,"9+", IF(tblPlacement[CGPA]&gt;=8,"8-9",IF(tblPlacement[CGPA]&gt;=7,"7-8","Below 7")))</f>
        <v>8-9</v>
      </c>
      <c r="M330" t="str">
        <f>IF(tblPlacement[Package_LPA]&gt;=15,"High",IF(tblPlacement[Package_LPA]&gt;=8,"Medium","Low"))</f>
        <v>Medium</v>
      </c>
      <c r="N330">
        <f>IF(tblPlacement[Internship]="Yes",1,0)</f>
        <v>0</v>
      </c>
    </row>
    <row r="331" spans="1:14" x14ac:dyDescent="0.3">
      <c r="A331" t="s">
        <v>430</v>
      </c>
      <c r="B331" t="s">
        <v>20</v>
      </c>
      <c r="C331">
        <v>6.4</v>
      </c>
      <c r="D331" t="s">
        <v>22</v>
      </c>
      <c r="E331" t="s">
        <v>46</v>
      </c>
      <c r="F331" t="s">
        <v>32</v>
      </c>
      <c r="G331">
        <v>0</v>
      </c>
      <c r="H331" t="s">
        <v>33</v>
      </c>
      <c r="I331" t="s">
        <v>33</v>
      </c>
      <c r="J331" t="s">
        <v>430</v>
      </c>
      <c r="K331">
        <f>IF(tblPlacement[Placement_Status]="Placed",1,0)</f>
        <v>0</v>
      </c>
      <c r="L331" t="str">
        <f>IF(tblPlacement[CGPA]&gt;=9,"9+", IF(tblPlacement[CGPA]&gt;=8,"8-9",IF(tblPlacement[CGPA]&gt;=7,"7-8","Below 7")))</f>
        <v>Below 7</v>
      </c>
      <c r="M331" t="str">
        <f>IF(tblPlacement[Package_LPA]&gt;=15,"High",IF(tblPlacement[Package_LPA]&gt;=8,"Medium","Low"))</f>
        <v>Low</v>
      </c>
      <c r="N331">
        <f>IF(tblPlacement[Internship]="Yes",1,0)</f>
        <v>0</v>
      </c>
    </row>
    <row r="332" spans="1:14" x14ac:dyDescent="0.3">
      <c r="A332" t="s">
        <v>431</v>
      </c>
      <c r="B332" t="s">
        <v>30</v>
      </c>
      <c r="C332">
        <v>7.9</v>
      </c>
      <c r="D332" t="s">
        <v>11</v>
      </c>
      <c r="E332" t="s">
        <v>335</v>
      </c>
      <c r="F332" t="s">
        <v>13</v>
      </c>
      <c r="G332">
        <v>14.3</v>
      </c>
      <c r="H332" t="s">
        <v>72</v>
      </c>
      <c r="I332" t="s">
        <v>20</v>
      </c>
      <c r="J332" t="s">
        <v>431</v>
      </c>
      <c r="K332">
        <f>IF(tblPlacement[Placement_Status]="Placed",1,0)</f>
        <v>1</v>
      </c>
      <c r="L332" t="str">
        <f>IF(tblPlacement[CGPA]&gt;=9,"9+", IF(tblPlacement[CGPA]&gt;=8,"8-9",IF(tblPlacement[CGPA]&gt;=7,"7-8","Below 7")))</f>
        <v>7-8</v>
      </c>
      <c r="M332" t="str">
        <f>IF(tblPlacement[Package_LPA]&gt;=15,"High",IF(tblPlacement[Package_LPA]&gt;=8,"Medium","Low"))</f>
        <v>Medium</v>
      </c>
      <c r="N332">
        <f>IF(tblPlacement[Internship]="Yes",1,0)</f>
        <v>1</v>
      </c>
    </row>
    <row r="333" spans="1:14" x14ac:dyDescent="0.3">
      <c r="A333" t="s">
        <v>432</v>
      </c>
      <c r="B333" t="s">
        <v>20</v>
      </c>
      <c r="C333">
        <v>6.3</v>
      </c>
      <c r="D333" t="s">
        <v>11</v>
      </c>
      <c r="E333" t="s">
        <v>46</v>
      </c>
      <c r="F333" t="s">
        <v>32</v>
      </c>
      <c r="G333">
        <v>0</v>
      </c>
      <c r="H333" t="s">
        <v>33</v>
      </c>
      <c r="I333" t="s">
        <v>33</v>
      </c>
      <c r="J333" t="s">
        <v>432</v>
      </c>
      <c r="K333">
        <f>IF(tblPlacement[Placement_Status]="Placed",1,0)</f>
        <v>0</v>
      </c>
      <c r="L333" t="str">
        <f>IF(tblPlacement[CGPA]&gt;=9,"9+", IF(tblPlacement[CGPA]&gt;=8,"8-9",IF(tblPlacement[CGPA]&gt;=7,"7-8","Below 7")))</f>
        <v>Below 7</v>
      </c>
      <c r="M333" t="str">
        <f>IF(tblPlacement[Package_LPA]&gt;=15,"High",IF(tblPlacement[Package_LPA]&gt;=8,"Medium","Low"))</f>
        <v>Low</v>
      </c>
      <c r="N333">
        <f>IF(tblPlacement[Internship]="Yes",1,0)</f>
        <v>1</v>
      </c>
    </row>
    <row r="334" spans="1:14" x14ac:dyDescent="0.3">
      <c r="A334" t="s">
        <v>433</v>
      </c>
      <c r="B334" t="s">
        <v>30</v>
      </c>
      <c r="C334">
        <v>7.1</v>
      </c>
      <c r="D334" t="s">
        <v>11</v>
      </c>
      <c r="E334" t="s">
        <v>141</v>
      </c>
      <c r="F334" t="s">
        <v>13</v>
      </c>
      <c r="G334">
        <v>11.2</v>
      </c>
      <c r="H334" t="s">
        <v>434</v>
      </c>
      <c r="I334" t="s">
        <v>37</v>
      </c>
      <c r="J334" t="s">
        <v>433</v>
      </c>
      <c r="K334">
        <f>IF(tblPlacement[Placement_Status]="Placed",1,0)</f>
        <v>1</v>
      </c>
      <c r="L334" t="str">
        <f>IF(tblPlacement[CGPA]&gt;=9,"9+", IF(tblPlacement[CGPA]&gt;=8,"8-9",IF(tblPlacement[CGPA]&gt;=7,"7-8","Below 7")))</f>
        <v>7-8</v>
      </c>
      <c r="M334" t="str">
        <f>IF(tblPlacement[Package_LPA]&gt;=15,"High",IF(tblPlacement[Package_LPA]&gt;=8,"Medium","Low"))</f>
        <v>Medium</v>
      </c>
      <c r="N334">
        <f>IF(tblPlacement[Internship]="Yes",1,0)</f>
        <v>1</v>
      </c>
    </row>
    <row r="335" spans="1:14" x14ac:dyDescent="0.3">
      <c r="A335" t="s">
        <v>435</v>
      </c>
      <c r="B335" t="s">
        <v>30</v>
      </c>
      <c r="C335">
        <v>5.8</v>
      </c>
      <c r="D335" t="s">
        <v>11</v>
      </c>
      <c r="E335" t="s">
        <v>335</v>
      </c>
      <c r="F335" t="s">
        <v>32</v>
      </c>
      <c r="G335">
        <v>0</v>
      </c>
      <c r="H335" t="s">
        <v>33</v>
      </c>
      <c r="I335" t="s">
        <v>33</v>
      </c>
      <c r="J335" t="s">
        <v>435</v>
      </c>
      <c r="K335">
        <f>IF(tblPlacement[Placement_Status]="Placed",1,0)</f>
        <v>0</v>
      </c>
      <c r="L335" t="str">
        <f>IF(tblPlacement[CGPA]&gt;=9,"9+", IF(tblPlacement[CGPA]&gt;=8,"8-9",IF(tblPlacement[CGPA]&gt;=7,"7-8","Below 7")))</f>
        <v>Below 7</v>
      </c>
      <c r="M335" t="str">
        <f>IF(tblPlacement[Package_LPA]&gt;=15,"High",IF(tblPlacement[Package_LPA]&gt;=8,"Medium","Low"))</f>
        <v>Low</v>
      </c>
      <c r="N335">
        <f>IF(tblPlacement[Internship]="Yes",1,0)</f>
        <v>1</v>
      </c>
    </row>
    <row r="336" spans="1:14" x14ac:dyDescent="0.3">
      <c r="A336" t="s">
        <v>436</v>
      </c>
      <c r="B336" t="s">
        <v>43</v>
      </c>
      <c r="C336">
        <v>9.6</v>
      </c>
      <c r="D336" t="s">
        <v>11</v>
      </c>
      <c r="E336" t="s">
        <v>69</v>
      </c>
      <c r="F336" t="s">
        <v>32</v>
      </c>
      <c r="G336">
        <v>0</v>
      </c>
      <c r="H336" t="s">
        <v>33</v>
      </c>
      <c r="I336" t="s">
        <v>33</v>
      </c>
      <c r="J336" t="s">
        <v>436</v>
      </c>
      <c r="K336">
        <f>IF(tblPlacement[Placement_Status]="Placed",1,0)</f>
        <v>0</v>
      </c>
      <c r="L336" t="str">
        <f>IF(tblPlacement[CGPA]&gt;=9,"9+", IF(tblPlacement[CGPA]&gt;=8,"8-9",IF(tblPlacement[CGPA]&gt;=7,"7-8","Below 7")))</f>
        <v>9+</v>
      </c>
      <c r="M336" t="str">
        <f>IF(tblPlacement[Package_LPA]&gt;=15,"High",IF(tblPlacement[Package_LPA]&gt;=8,"Medium","Low"))</f>
        <v>Low</v>
      </c>
      <c r="N336">
        <f>IF(tblPlacement[Internship]="Yes",1,0)</f>
        <v>1</v>
      </c>
    </row>
    <row r="337" spans="1:14" x14ac:dyDescent="0.3">
      <c r="A337" t="s">
        <v>437</v>
      </c>
      <c r="B337" t="s">
        <v>131</v>
      </c>
      <c r="C337">
        <v>7.5</v>
      </c>
      <c r="D337" t="s">
        <v>11</v>
      </c>
      <c r="E337" t="s">
        <v>132</v>
      </c>
      <c r="F337" t="s">
        <v>13</v>
      </c>
      <c r="G337">
        <v>14.2</v>
      </c>
      <c r="H337" t="s">
        <v>67</v>
      </c>
      <c r="I337" t="s">
        <v>309</v>
      </c>
      <c r="J337" t="s">
        <v>437</v>
      </c>
      <c r="K337">
        <f>IF(tblPlacement[Placement_Status]="Placed",1,0)</f>
        <v>1</v>
      </c>
      <c r="L337" t="str">
        <f>IF(tblPlacement[CGPA]&gt;=9,"9+", IF(tblPlacement[CGPA]&gt;=8,"8-9",IF(tblPlacement[CGPA]&gt;=7,"7-8","Below 7")))</f>
        <v>7-8</v>
      </c>
      <c r="M337" t="str">
        <f>IF(tblPlacement[Package_LPA]&gt;=15,"High",IF(tblPlacement[Package_LPA]&gt;=8,"Medium","Low"))</f>
        <v>Medium</v>
      </c>
      <c r="N337">
        <f>IF(tblPlacement[Internship]="Yes",1,0)</f>
        <v>1</v>
      </c>
    </row>
    <row r="338" spans="1:14" x14ac:dyDescent="0.3">
      <c r="A338" t="s">
        <v>438</v>
      </c>
      <c r="B338" t="s">
        <v>43</v>
      </c>
      <c r="C338">
        <v>6.2</v>
      </c>
      <c r="D338" t="s">
        <v>11</v>
      </c>
      <c r="E338" t="s">
        <v>69</v>
      </c>
      <c r="F338" t="s">
        <v>32</v>
      </c>
      <c r="G338">
        <v>0</v>
      </c>
      <c r="H338" t="s">
        <v>33</v>
      </c>
      <c r="I338" t="s">
        <v>33</v>
      </c>
      <c r="J338" t="s">
        <v>438</v>
      </c>
      <c r="K338">
        <f>IF(tblPlacement[Placement_Status]="Placed",1,0)</f>
        <v>0</v>
      </c>
      <c r="L338" t="str">
        <f>IF(tblPlacement[CGPA]&gt;=9,"9+", IF(tblPlacement[CGPA]&gt;=8,"8-9",IF(tblPlacement[CGPA]&gt;=7,"7-8","Below 7")))</f>
        <v>Below 7</v>
      </c>
      <c r="M338" t="str">
        <f>IF(tblPlacement[Package_LPA]&gt;=15,"High",IF(tblPlacement[Package_LPA]&gt;=8,"Medium","Low"))</f>
        <v>Low</v>
      </c>
      <c r="N338">
        <f>IF(tblPlacement[Internship]="Yes",1,0)</f>
        <v>1</v>
      </c>
    </row>
    <row r="339" spans="1:14" x14ac:dyDescent="0.3">
      <c r="A339" t="s">
        <v>439</v>
      </c>
      <c r="B339" t="s">
        <v>17</v>
      </c>
      <c r="C339">
        <v>7.3</v>
      </c>
      <c r="D339" t="s">
        <v>22</v>
      </c>
      <c r="E339" t="s">
        <v>76</v>
      </c>
      <c r="F339" t="s">
        <v>32</v>
      </c>
      <c r="G339">
        <v>0</v>
      </c>
      <c r="H339" t="s">
        <v>33</v>
      </c>
      <c r="I339" t="s">
        <v>33</v>
      </c>
      <c r="J339" t="s">
        <v>439</v>
      </c>
      <c r="K339">
        <f>IF(tblPlacement[Placement_Status]="Placed",1,0)</f>
        <v>0</v>
      </c>
      <c r="L339" t="str">
        <f>IF(tblPlacement[CGPA]&gt;=9,"9+", IF(tblPlacement[CGPA]&gt;=8,"8-9",IF(tblPlacement[CGPA]&gt;=7,"7-8","Below 7")))</f>
        <v>7-8</v>
      </c>
      <c r="M339" t="str">
        <f>IF(tblPlacement[Package_LPA]&gt;=15,"High",IF(tblPlacement[Package_LPA]&gt;=8,"Medium","Low"))</f>
        <v>Low</v>
      </c>
      <c r="N339">
        <f>IF(tblPlacement[Internship]="Yes",1,0)</f>
        <v>0</v>
      </c>
    </row>
    <row r="340" spans="1:14" x14ac:dyDescent="0.3">
      <c r="A340" t="s">
        <v>440</v>
      </c>
      <c r="B340" t="s">
        <v>17</v>
      </c>
      <c r="C340">
        <v>5.7</v>
      </c>
      <c r="D340" t="s">
        <v>22</v>
      </c>
      <c r="E340" t="s">
        <v>39</v>
      </c>
      <c r="F340" t="s">
        <v>32</v>
      </c>
      <c r="G340">
        <v>0</v>
      </c>
      <c r="H340" t="s">
        <v>33</v>
      </c>
      <c r="I340" t="s">
        <v>33</v>
      </c>
      <c r="J340" t="s">
        <v>440</v>
      </c>
      <c r="K340">
        <f>IF(tblPlacement[Placement_Status]="Placed",1,0)</f>
        <v>0</v>
      </c>
      <c r="L340" t="str">
        <f>IF(tblPlacement[CGPA]&gt;=9,"9+", IF(tblPlacement[CGPA]&gt;=8,"8-9",IF(tblPlacement[CGPA]&gt;=7,"7-8","Below 7")))</f>
        <v>Below 7</v>
      </c>
      <c r="M340" t="str">
        <f>IF(tblPlacement[Package_LPA]&gt;=15,"High",IF(tblPlacement[Package_LPA]&gt;=8,"Medium","Low"))</f>
        <v>Low</v>
      </c>
      <c r="N340">
        <f>IF(tblPlacement[Internship]="Yes",1,0)</f>
        <v>0</v>
      </c>
    </row>
    <row r="341" spans="1:14" x14ac:dyDescent="0.3">
      <c r="A341" t="s">
        <v>441</v>
      </c>
      <c r="B341" t="s">
        <v>43</v>
      </c>
      <c r="C341">
        <v>8.6999999999999993</v>
      </c>
      <c r="D341" t="s">
        <v>11</v>
      </c>
      <c r="E341" t="s">
        <v>69</v>
      </c>
      <c r="F341" t="s">
        <v>32</v>
      </c>
      <c r="G341">
        <v>0</v>
      </c>
      <c r="H341" t="s">
        <v>33</v>
      </c>
      <c r="I341" t="s">
        <v>33</v>
      </c>
      <c r="J341" t="s">
        <v>441</v>
      </c>
      <c r="K341">
        <f>IF(tblPlacement[Placement_Status]="Placed",1,0)</f>
        <v>0</v>
      </c>
      <c r="L341" t="str">
        <f>IF(tblPlacement[CGPA]&gt;=9,"9+", IF(tblPlacement[CGPA]&gt;=8,"8-9",IF(tblPlacement[CGPA]&gt;=7,"7-8","Below 7")))</f>
        <v>8-9</v>
      </c>
      <c r="M341" t="str">
        <f>IF(tblPlacement[Package_LPA]&gt;=15,"High",IF(tblPlacement[Package_LPA]&gt;=8,"Medium","Low"))</f>
        <v>Low</v>
      </c>
      <c r="N341">
        <f>IF(tblPlacement[Internship]="Yes",1,0)</f>
        <v>1</v>
      </c>
    </row>
    <row r="342" spans="1:14" x14ac:dyDescent="0.3">
      <c r="A342" t="s">
        <v>442</v>
      </c>
      <c r="B342" t="s">
        <v>17</v>
      </c>
      <c r="C342">
        <v>9</v>
      </c>
      <c r="D342" t="s">
        <v>22</v>
      </c>
      <c r="E342" t="s">
        <v>80</v>
      </c>
      <c r="F342" t="s">
        <v>32</v>
      </c>
      <c r="G342">
        <v>0</v>
      </c>
      <c r="H342" t="s">
        <v>33</v>
      </c>
      <c r="I342" t="s">
        <v>33</v>
      </c>
      <c r="J342" t="s">
        <v>442</v>
      </c>
      <c r="K342">
        <f>IF(tblPlacement[Placement_Status]="Placed",1,0)</f>
        <v>0</v>
      </c>
      <c r="L342" t="str">
        <f>IF(tblPlacement[CGPA]&gt;=9,"9+", IF(tblPlacement[CGPA]&gt;=8,"8-9",IF(tblPlacement[CGPA]&gt;=7,"7-8","Below 7")))</f>
        <v>9+</v>
      </c>
      <c r="M342" t="str">
        <f>IF(tblPlacement[Package_LPA]&gt;=15,"High",IF(tblPlacement[Package_LPA]&gt;=8,"Medium","Low"))</f>
        <v>Low</v>
      </c>
      <c r="N342">
        <f>IF(tblPlacement[Internship]="Yes",1,0)</f>
        <v>0</v>
      </c>
    </row>
    <row r="343" spans="1:14" x14ac:dyDescent="0.3">
      <c r="A343" t="s">
        <v>443</v>
      </c>
      <c r="B343" t="s">
        <v>17</v>
      </c>
      <c r="C343">
        <v>6.4</v>
      </c>
      <c r="D343" t="s">
        <v>22</v>
      </c>
      <c r="E343" t="s">
        <v>46</v>
      </c>
      <c r="F343" t="s">
        <v>13</v>
      </c>
      <c r="G343">
        <v>6.5</v>
      </c>
      <c r="H343" t="s">
        <v>19</v>
      </c>
      <c r="I343" t="s">
        <v>20</v>
      </c>
      <c r="J343" t="s">
        <v>443</v>
      </c>
      <c r="K343">
        <f>IF(tblPlacement[Placement_Status]="Placed",1,0)</f>
        <v>1</v>
      </c>
      <c r="L343" t="str">
        <f>IF(tblPlacement[CGPA]&gt;=9,"9+", IF(tblPlacement[CGPA]&gt;=8,"8-9",IF(tblPlacement[CGPA]&gt;=7,"7-8","Below 7")))</f>
        <v>Below 7</v>
      </c>
      <c r="M343" t="str">
        <f>IF(tblPlacement[Package_LPA]&gt;=15,"High",IF(tblPlacement[Package_LPA]&gt;=8,"Medium","Low"))</f>
        <v>Low</v>
      </c>
      <c r="N343">
        <f>IF(tblPlacement[Internship]="Yes",1,0)</f>
        <v>0</v>
      </c>
    </row>
    <row r="344" spans="1:14" x14ac:dyDescent="0.3">
      <c r="A344" t="s">
        <v>444</v>
      </c>
      <c r="B344" t="s">
        <v>10</v>
      </c>
      <c r="C344">
        <v>8.4</v>
      </c>
      <c r="D344" t="s">
        <v>22</v>
      </c>
      <c r="E344" t="s">
        <v>39</v>
      </c>
      <c r="F344" t="s">
        <v>13</v>
      </c>
      <c r="G344">
        <v>14.1</v>
      </c>
      <c r="H344" t="s">
        <v>41</v>
      </c>
      <c r="I344" t="s">
        <v>15</v>
      </c>
      <c r="J344" t="s">
        <v>444</v>
      </c>
      <c r="K344">
        <f>IF(tblPlacement[Placement_Status]="Placed",1,0)</f>
        <v>1</v>
      </c>
      <c r="L344" t="str">
        <f>IF(tblPlacement[CGPA]&gt;=9,"9+", IF(tblPlacement[CGPA]&gt;=8,"8-9",IF(tblPlacement[CGPA]&gt;=7,"7-8","Below 7")))</f>
        <v>8-9</v>
      </c>
      <c r="M344" t="str">
        <f>IF(tblPlacement[Package_LPA]&gt;=15,"High",IF(tblPlacement[Package_LPA]&gt;=8,"Medium","Low"))</f>
        <v>Medium</v>
      </c>
      <c r="N344">
        <f>IF(tblPlacement[Internship]="Yes",1,0)</f>
        <v>0</v>
      </c>
    </row>
    <row r="345" spans="1:14" x14ac:dyDescent="0.3">
      <c r="A345" t="s">
        <v>445</v>
      </c>
      <c r="B345" t="s">
        <v>30</v>
      </c>
      <c r="C345">
        <v>7.6</v>
      </c>
      <c r="D345" t="s">
        <v>22</v>
      </c>
      <c r="E345" t="s">
        <v>60</v>
      </c>
      <c r="F345" t="s">
        <v>13</v>
      </c>
      <c r="G345">
        <v>16.5</v>
      </c>
      <c r="H345" t="s">
        <v>56</v>
      </c>
      <c r="I345" t="s">
        <v>37</v>
      </c>
      <c r="J345" t="s">
        <v>445</v>
      </c>
      <c r="K345">
        <f>IF(tblPlacement[Placement_Status]="Placed",1,0)</f>
        <v>1</v>
      </c>
      <c r="L345" t="str">
        <f>IF(tblPlacement[CGPA]&gt;=9,"9+", IF(tblPlacement[CGPA]&gt;=8,"8-9",IF(tblPlacement[CGPA]&gt;=7,"7-8","Below 7")))</f>
        <v>7-8</v>
      </c>
      <c r="M345" t="str">
        <f>IF(tblPlacement[Package_LPA]&gt;=15,"High",IF(tblPlacement[Package_LPA]&gt;=8,"Medium","Low"))</f>
        <v>High</v>
      </c>
      <c r="N345">
        <f>IF(tblPlacement[Internship]="Yes",1,0)</f>
        <v>0</v>
      </c>
    </row>
    <row r="346" spans="1:14" x14ac:dyDescent="0.3">
      <c r="A346" t="s">
        <v>446</v>
      </c>
      <c r="B346" t="s">
        <v>30</v>
      </c>
      <c r="C346">
        <v>9.3000000000000007</v>
      </c>
      <c r="D346" t="s">
        <v>22</v>
      </c>
      <c r="E346" t="s">
        <v>60</v>
      </c>
      <c r="F346" t="s">
        <v>32</v>
      </c>
      <c r="G346">
        <v>0</v>
      </c>
      <c r="H346" t="s">
        <v>33</v>
      </c>
      <c r="I346" t="s">
        <v>33</v>
      </c>
      <c r="J346" t="s">
        <v>446</v>
      </c>
      <c r="K346">
        <f>IF(tblPlacement[Placement_Status]="Placed",1,0)</f>
        <v>0</v>
      </c>
      <c r="L346" t="str">
        <f>IF(tblPlacement[CGPA]&gt;=9,"9+", IF(tblPlacement[CGPA]&gt;=8,"8-9",IF(tblPlacement[CGPA]&gt;=7,"7-8","Below 7")))</f>
        <v>9+</v>
      </c>
      <c r="M346" t="str">
        <f>IF(tblPlacement[Package_LPA]&gt;=15,"High",IF(tblPlacement[Package_LPA]&gt;=8,"Medium","Low"))</f>
        <v>Low</v>
      </c>
      <c r="N346">
        <f>IF(tblPlacement[Internship]="Yes",1,0)</f>
        <v>0</v>
      </c>
    </row>
    <row r="347" spans="1:14" x14ac:dyDescent="0.3">
      <c r="A347" t="s">
        <v>447</v>
      </c>
      <c r="B347" t="s">
        <v>43</v>
      </c>
      <c r="C347">
        <v>9.4</v>
      </c>
      <c r="D347" t="s">
        <v>22</v>
      </c>
      <c r="E347" t="s">
        <v>234</v>
      </c>
      <c r="F347" t="s">
        <v>32</v>
      </c>
      <c r="G347">
        <v>0</v>
      </c>
      <c r="H347" t="s">
        <v>33</v>
      </c>
      <c r="I347" t="s">
        <v>33</v>
      </c>
      <c r="J347" t="s">
        <v>447</v>
      </c>
      <c r="K347">
        <f>IF(tblPlacement[Placement_Status]="Placed",1,0)</f>
        <v>0</v>
      </c>
      <c r="L347" t="str">
        <f>IF(tblPlacement[CGPA]&gt;=9,"9+", IF(tblPlacement[CGPA]&gt;=8,"8-9",IF(tblPlacement[CGPA]&gt;=7,"7-8","Below 7")))</f>
        <v>9+</v>
      </c>
      <c r="M347" t="str">
        <f>IF(tblPlacement[Package_LPA]&gt;=15,"High",IF(tblPlacement[Package_LPA]&gt;=8,"Medium","Low"))</f>
        <v>Low</v>
      </c>
      <c r="N347">
        <f>IF(tblPlacement[Internship]="Yes",1,0)</f>
        <v>0</v>
      </c>
    </row>
    <row r="348" spans="1:14" x14ac:dyDescent="0.3">
      <c r="A348" t="s">
        <v>448</v>
      </c>
      <c r="B348" t="s">
        <v>17</v>
      </c>
      <c r="C348">
        <v>5.9</v>
      </c>
      <c r="D348" t="s">
        <v>11</v>
      </c>
      <c r="E348" t="s">
        <v>136</v>
      </c>
      <c r="F348" t="s">
        <v>32</v>
      </c>
      <c r="G348">
        <v>0</v>
      </c>
      <c r="H348" t="s">
        <v>33</v>
      </c>
      <c r="I348" t="s">
        <v>33</v>
      </c>
      <c r="J348" t="s">
        <v>448</v>
      </c>
      <c r="K348">
        <f>IF(tblPlacement[Placement_Status]="Placed",1,0)</f>
        <v>0</v>
      </c>
      <c r="L348" t="str">
        <f>IF(tblPlacement[CGPA]&gt;=9,"9+", IF(tblPlacement[CGPA]&gt;=8,"8-9",IF(tblPlacement[CGPA]&gt;=7,"7-8","Below 7")))</f>
        <v>Below 7</v>
      </c>
      <c r="M348" t="str">
        <f>IF(tblPlacement[Package_LPA]&gt;=15,"High",IF(tblPlacement[Package_LPA]&gt;=8,"Medium","Low"))</f>
        <v>Low</v>
      </c>
      <c r="N348">
        <f>IF(tblPlacement[Internship]="Yes",1,0)</f>
        <v>1</v>
      </c>
    </row>
    <row r="349" spans="1:14" x14ac:dyDescent="0.3">
      <c r="A349" t="s">
        <v>449</v>
      </c>
      <c r="B349" t="s">
        <v>10</v>
      </c>
      <c r="C349">
        <v>7.5</v>
      </c>
      <c r="D349" t="s">
        <v>11</v>
      </c>
      <c r="E349" t="s">
        <v>49</v>
      </c>
      <c r="F349" t="s">
        <v>13</v>
      </c>
      <c r="G349">
        <v>9.1</v>
      </c>
      <c r="H349" t="s">
        <v>14</v>
      </c>
      <c r="I349" t="s">
        <v>15</v>
      </c>
      <c r="J349" t="s">
        <v>449</v>
      </c>
      <c r="K349">
        <f>IF(tblPlacement[Placement_Status]="Placed",1,0)</f>
        <v>1</v>
      </c>
      <c r="L349" t="str">
        <f>IF(tblPlacement[CGPA]&gt;=9,"9+", IF(tblPlacement[CGPA]&gt;=8,"8-9",IF(tblPlacement[CGPA]&gt;=7,"7-8","Below 7")))</f>
        <v>7-8</v>
      </c>
      <c r="M349" t="str">
        <f>IF(tblPlacement[Package_LPA]&gt;=15,"High",IF(tblPlacement[Package_LPA]&gt;=8,"Medium","Low"))</f>
        <v>Medium</v>
      </c>
      <c r="N349">
        <f>IF(tblPlacement[Internship]="Yes",1,0)</f>
        <v>1</v>
      </c>
    </row>
    <row r="350" spans="1:14" x14ac:dyDescent="0.3">
      <c r="A350" t="s">
        <v>450</v>
      </c>
      <c r="B350" t="s">
        <v>43</v>
      </c>
      <c r="C350">
        <v>8.4</v>
      </c>
      <c r="D350" t="s">
        <v>22</v>
      </c>
      <c r="E350" t="s">
        <v>165</v>
      </c>
      <c r="F350" t="s">
        <v>32</v>
      </c>
      <c r="G350">
        <v>0</v>
      </c>
      <c r="H350" t="s">
        <v>33</v>
      </c>
      <c r="I350" t="s">
        <v>33</v>
      </c>
      <c r="J350" t="s">
        <v>450</v>
      </c>
      <c r="K350">
        <f>IF(tblPlacement[Placement_Status]="Placed",1,0)</f>
        <v>0</v>
      </c>
      <c r="L350" t="str">
        <f>IF(tblPlacement[CGPA]&gt;=9,"9+", IF(tblPlacement[CGPA]&gt;=8,"8-9",IF(tblPlacement[CGPA]&gt;=7,"7-8","Below 7")))</f>
        <v>8-9</v>
      </c>
      <c r="M350" t="str">
        <f>IF(tblPlacement[Package_LPA]&gt;=15,"High",IF(tblPlacement[Package_LPA]&gt;=8,"Medium","Low"))</f>
        <v>Low</v>
      </c>
      <c r="N350">
        <f>IF(tblPlacement[Internship]="Yes",1,0)</f>
        <v>0</v>
      </c>
    </row>
    <row r="351" spans="1:14" x14ac:dyDescent="0.3">
      <c r="A351" t="s">
        <v>451</v>
      </c>
      <c r="B351" t="s">
        <v>20</v>
      </c>
      <c r="C351">
        <v>5.2</v>
      </c>
      <c r="D351" t="s">
        <v>22</v>
      </c>
      <c r="E351" t="s">
        <v>23</v>
      </c>
      <c r="F351" t="s">
        <v>32</v>
      </c>
      <c r="G351">
        <v>0</v>
      </c>
      <c r="H351" t="s">
        <v>33</v>
      </c>
      <c r="I351" t="s">
        <v>33</v>
      </c>
      <c r="J351" t="s">
        <v>451</v>
      </c>
      <c r="K351">
        <f>IF(tblPlacement[Placement_Status]="Placed",1,0)</f>
        <v>0</v>
      </c>
      <c r="L351" t="str">
        <f>IF(tblPlacement[CGPA]&gt;=9,"9+", IF(tblPlacement[CGPA]&gt;=8,"8-9",IF(tblPlacement[CGPA]&gt;=7,"7-8","Below 7")))</f>
        <v>Below 7</v>
      </c>
      <c r="M351" t="str">
        <f>IF(tblPlacement[Package_LPA]&gt;=15,"High",IF(tblPlacement[Package_LPA]&gt;=8,"Medium","Low"))</f>
        <v>Low</v>
      </c>
      <c r="N351">
        <f>IF(tblPlacement[Internship]="Yes",1,0)</f>
        <v>0</v>
      </c>
    </row>
    <row r="352" spans="1:14" x14ac:dyDescent="0.3">
      <c r="A352" t="s">
        <v>452</v>
      </c>
      <c r="B352" t="s">
        <v>20</v>
      </c>
      <c r="C352">
        <v>8.3000000000000007</v>
      </c>
      <c r="D352" t="s">
        <v>11</v>
      </c>
      <c r="E352" t="s">
        <v>23</v>
      </c>
      <c r="F352" t="s">
        <v>32</v>
      </c>
      <c r="G352">
        <v>0</v>
      </c>
      <c r="H352" t="s">
        <v>33</v>
      </c>
      <c r="I352" t="s">
        <v>33</v>
      </c>
      <c r="J352" t="s">
        <v>452</v>
      </c>
      <c r="K352">
        <f>IF(tblPlacement[Placement_Status]="Placed",1,0)</f>
        <v>0</v>
      </c>
      <c r="L352" t="str">
        <f>IF(tblPlacement[CGPA]&gt;=9,"9+", IF(tblPlacement[CGPA]&gt;=8,"8-9",IF(tblPlacement[CGPA]&gt;=7,"7-8","Below 7")))</f>
        <v>8-9</v>
      </c>
      <c r="M352" t="str">
        <f>IF(tblPlacement[Package_LPA]&gt;=15,"High",IF(tblPlacement[Package_LPA]&gt;=8,"Medium","Low"))</f>
        <v>Low</v>
      </c>
      <c r="N352">
        <f>IF(tblPlacement[Internship]="Yes",1,0)</f>
        <v>1</v>
      </c>
    </row>
    <row r="353" spans="1:14" x14ac:dyDescent="0.3">
      <c r="A353" t="s">
        <v>453</v>
      </c>
      <c r="B353" t="s">
        <v>20</v>
      </c>
      <c r="C353">
        <v>9.6999999999999993</v>
      </c>
      <c r="D353" t="s">
        <v>22</v>
      </c>
      <c r="E353" t="s">
        <v>71</v>
      </c>
      <c r="F353" t="s">
        <v>13</v>
      </c>
      <c r="G353">
        <v>12.1</v>
      </c>
      <c r="H353" t="s">
        <v>115</v>
      </c>
      <c r="I353" t="s">
        <v>20</v>
      </c>
      <c r="J353" t="s">
        <v>453</v>
      </c>
      <c r="K353">
        <f>IF(tblPlacement[Placement_Status]="Placed",1,0)</f>
        <v>1</v>
      </c>
      <c r="L353" t="str">
        <f>IF(tblPlacement[CGPA]&gt;=9,"9+", IF(tblPlacement[CGPA]&gt;=8,"8-9",IF(tblPlacement[CGPA]&gt;=7,"7-8","Below 7")))</f>
        <v>9+</v>
      </c>
      <c r="M353" t="str">
        <f>IF(tblPlacement[Package_LPA]&gt;=15,"High",IF(tblPlacement[Package_LPA]&gt;=8,"Medium","Low"))</f>
        <v>Medium</v>
      </c>
      <c r="N353">
        <f>IF(tblPlacement[Internship]="Yes",1,0)</f>
        <v>0</v>
      </c>
    </row>
    <row r="354" spans="1:14" x14ac:dyDescent="0.3">
      <c r="A354" t="s">
        <v>454</v>
      </c>
      <c r="B354" t="s">
        <v>17</v>
      </c>
      <c r="C354">
        <v>9.1</v>
      </c>
      <c r="D354" t="s">
        <v>22</v>
      </c>
      <c r="E354" t="s">
        <v>18</v>
      </c>
      <c r="F354" t="s">
        <v>13</v>
      </c>
      <c r="G354">
        <v>6.2</v>
      </c>
      <c r="H354" t="s">
        <v>51</v>
      </c>
      <c r="I354" t="s">
        <v>20</v>
      </c>
      <c r="J354" t="s">
        <v>454</v>
      </c>
      <c r="K354">
        <f>IF(tblPlacement[Placement_Status]="Placed",1,0)</f>
        <v>1</v>
      </c>
      <c r="L354" t="str">
        <f>IF(tblPlacement[CGPA]&gt;=9,"9+", IF(tblPlacement[CGPA]&gt;=8,"8-9",IF(tblPlacement[CGPA]&gt;=7,"7-8","Below 7")))</f>
        <v>9+</v>
      </c>
      <c r="M354" t="str">
        <f>IF(tblPlacement[Package_LPA]&gt;=15,"High",IF(tblPlacement[Package_LPA]&gt;=8,"Medium","Low"))</f>
        <v>Low</v>
      </c>
      <c r="N354">
        <f>IF(tblPlacement[Internship]="Yes",1,0)</f>
        <v>0</v>
      </c>
    </row>
    <row r="355" spans="1:14" x14ac:dyDescent="0.3">
      <c r="A355" t="s">
        <v>455</v>
      </c>
      <c r="B355" t="s">
        <v>43</v>
      </c>
      <c r="C355">
        <v>7.2</v>
      </c>
      <c r="D355" t="s">
        <v>11</v>
      </c>
      <c r="E355" t="s">
        <v>60</v>
      </c>
      <c r="F355" t="s">
        <v>13</v>
      </c>
      <c r="G355">
        <v>5.9</v>
      </c>
      <c r="H355" t="s">
        <v>368</v>
      </c>
      <c r="I355" t="s">
        <v>65</v>
      </c>
      <c r="J355" t="s">
        <v>455</v>
      </c>
      <c r="K355">
        <f>IF(tblPlacement[Placement_Status]="Placed",1,0)</f>
        <v>1</v>
      </c>
      <c r="L355" t="str">
        <f>IF(tblPlacement[CGPA]&gt;=9,"9+", IF(tblPlacement[CGPA]&gt;=8,"8-9",IF(tblPlacement[CGPA]&gt;=7,"7-8","Below 7")))</f>
        <v>7-8</v>
      </c>
      <c r="M355" t="str">
        <f>IF(tblPlacement[Package_LPA]&gt;=15,"High",IF(tblPlacement[Package_LPA]&gt;=8,"Medium","Low"))</f>
        <v>Low</v>
      </c>
      <c r="N355">
        <f>IF(tblPlacement[Internship]="Yes",1,0)</f>
        <v>1</v>
      </c>
    </row>
    <row r="356" spans="1:14" x14ac:dyDescent="0.3">
      <c r="A356" t="s">
        <v>456</v>
      </c>
      <c r="B356" t="s">
        <v>26</v>
      </c>
      <c r="C356">
        <v>6.5</v>
      </c>
      <c r="D356" t="s">
        <v>22</v>
      </c>
      <c r="E356" t="s">
        <v>63</v>
      </c>
      <c r="F356" t="s">
        <v>13</v>
      </c>
      <c r="G356">
        <v>4.3</v>
      </c>
      <c r="H356" t="s">
        <v>67</v>
      </c>
      <c r="I356" t="s">
        <v>20</v>
      </c>
      <c r="J356" t="s">
        <v>456</v>
      </c>
      <c r="K356">
        <f>IF(tblPlacement[Placement_Status]="Placed",1,0)</f>
        <v>1</v>
      </c>
      <c r="L356" t="str">
        <f>IF(tblPlacement[CGPA]&gt;=9,"9+", IF(tblPlacement[CGPA]&gt;=8,"8-9",IF(tblPlacement[CGPA]&gt;=7,"7-8","Below 7")))</f>
        <v>Below 7</v>
      </c>
      <c r="M356" t="str">
        <f>IF(tblPlacement[Package_LPA]&gt;=15,"High",IF(tblPlacement[Package_LPA]&gt;=8,"Medium","Low"))</f>
        <v>Low</v>
      </c>
      <c r="N356">
        <f>IF(tblPlacement[Internship]="Yes",1,0)</f>
        <v>0</v>
      </c>
    </row>
    <row r="357" spans="1:14" x14ac:dyDescent="0.3">
      <c r="A357" t="s">
        <v>457</v>
      </c>
      <c r="B357" t="s">
        <v>10</v>
      </c>
      <c r="C357">
        <v>8.5</v>
      </c>
      <c r="D357" t="s">
        <v>22</v>
      </c>
      <c r="E357" t="s">
        <v>39</v>
      </c>
      <c r="F357" t="s">
        <v>13</v>
      </c>
      <c r="G357">
        <v>5.5</v>
      </c>
      <c r="H357" t="s">
        <v>159</v>
      </c>
      <c r="I357" t="s">
        <v>15</v>
      </c>
      <c r="J357" t="s">
        <v>457</v>
      </c>
      <c r="K357">
        <f>IF(tblPlacement[Placement_Status]="Placed",1,0)</f>
        <v>1</v>
      </c>
      <c r="L357" t="str">
        <f>IF(tblPlacement[CGPA]&gt;=9,"9+", IF(tblPlacement[CGPA]&gt;=8,"8-9",IF(tblPlacement[CGPA]&gt;=7,"7-8","Below 7")))</f>
        <v>8-9</v>
      </c>
      <c r="M357" t="str">
        <f>IF(tblPlacement[Package_LPA]&gt;=15,"High",IF(tblPlacement[Package_LPA]&gt;=8,"Medium","Low"))</f>
        <v>Low</v>
      </c>
      <c r="N357">
        <f>IF(tblPlacement[Internship]="Yes",1,0)</f>
        <v>0</v>
      </c>
    </row>
    <row r="358" spans="1:14" x14ac:dyDescent="0.3">
      <c r="A358" t="s">
        <v>458</v>
      </c>
      <c r="B358" t="s">
        <v>30</v>
      </c>
      <c r="C358">
        <v>7.6</v>
      </c>
      <c r="D358" t="s">
        <v>11</v>
      </c>
      <c r="E358" t="s">
        <v>285</v>
      </c>
      <c r="F358" t="s">
        <v>13</v>
      </c>
      <c r="G358">
        <v>15.1</v>
      </c>
      <c r="H358" t="s">
        <v>47</v>
      </c>
      <c r="I358" t="s">
        <v>20</v>
      </c>
      <c r="J358" t="s">
        <v>458</v>
      </c>
      <c r="K358">
        <f>IF(tblPlacement[Placement_Status]="Placed",1,0)</f>
        <v>1</v>
      </c>
      <c r="L358" t="str">
        <f>IF(tblPlacement[CGPA]&gt;=9,"9+", IF(tblPlacement[CGPA]&gt;=8,"8-9",IF(tblPlacement[CGPA]&gt;=7,"7-8","Below 7")))</f>
        <v>7-8</v>
      </c>
      <c r="M358" t="str">
        <f>IF(tblPlacement[Package_LPA]&gt;=15,"High",IF(tblPlacement[Package_LPA]&gt;=8,"Medium","Low"))</f>
        <v>High</v>
      </c>
      <c r="N358">
        <f>IF(tblPlacement[Internship]="Yes",1,0)</f>
        <v>1</v>
      </c>
    </row>
    <row r="359" spans="1:14" x14ac:dyDescent="0.3">
      <c r="A359" t="s">
        <v>459</v>
      </c>
      <c r="B359" t="s">
        <v>30</v>
      </c>
      <c r="C359">
        <v>6.3</v>
      </c>
      <c r="D359" t="s">
        <v>11</v>
      </c>
      <c r="E359" t="s">
        <v>35</v>
      </c>
      <c r="F359" t="s">
        <v>13</v>
      </c>
      <c r="G359">
        <v>9.9</v>
      </c>
      <c r="H359" t="s">
        <v>67</v>
      </c>
      <c r="I359" t="s">
        <v>20</v>
      </c>
      <c r="J359" t="s">
        <v>459</v>
      </c>
      <c r="K359">
        <f>IF(tblPlacement[Placement_Status]="Placed",1,0)</f>
        <v>1</v>
      </c>
      <c r="L359" t="str">
        <f>IF(tblPlacement[CGPA]&gt;=9,"9+", IF(tblPlacement[CGPA]&gt;=8,"8-9",IF(tblPlacement[CGPA]&gt;=7,"7-8","Below 7")))</f>
        <v>Below 7</v>
      </c>
      <c r="M359" t="str">
        <f>IF(tblPlacement[Package_LPA]&gt;=15,"High",IF(tblPlacement[Package_LPA]&gt;=8,"Medium","Low"))</f>
        <v>Medium</v>
      </c>
      <c r="N359">
        <f>IF(tblPlacement[Internship]="Yes",1,0)</f>
        <v>1</v>
      </c>
    </row>
    <row r="360" spans="1:14" x14ac:dyDescent="0.3">
      <c r="A360" t="s">
        <v>460</v>
      </c>
      <c r="B360" t="s">
        <v>43</v>
      </c>
      <c r="C360">
        <v>9.1999999999999993</v>
      </c>
      <c r="D360" t="s">
        <v>22</v>
      </c>
      <c r="E360" t="s">
        <v>234</v>
      </c>
      <c r="F360" t="s">
        <v>13</v>
      </c>
      <c r="G360">
        <v>9.1999999999999993</v>
      </c>
      <c r="H360" t="s">
        <v>95</v>
      </c>
      <c r="I360" t="s">
        <v>43</v>
      </c>
      <c r="J360" t="s">
        <v>460</v>
      </c>
      <c r="K360">
        <f>IF(tblPlacement[Placement_Status]="Placed",1,0)</f>
        <v>1</v>
      </c>
      <c r="L360" t="str">
        <f>IF(tblPlacement[CGPA]&gt;=9,"9+", IF(tblPlacement[CGPA]&gt;=8,"8-9",IF(tblPlacement[CGPA]&gt;=7,"7-8","Below 7")))</f>
        <v>9+</v>
      </c>
      <c r="M360" t="str">
        <f>IF(tblPlacement[Package_LPA]&gt;=15,"High",IF(tblPlacement[Package_LPA]&gt;=8,"Medium","Low"))</f>
        <v>Medium</v>
      </c>
      <c r="N360">
        <f>IF(tblPlacement[Internship]="Yes",1,0)</f>
        <v>0</v>
      </c>
    </row>
    <row r="361" spans="1:14" x14ac:dyDescent="0.3">
      <c r="A361" t="s">
        <v>461</v>
      </c>
      <c r="B361" t="s">
        <v>10</v>
      </c>
      <c r="C361">
        <v>8.1</v>
      </c>
      <c r="D361" t="s">
        <v>11</v>
      </c>
      <c r="E361" t="s">
        <v>39</v>
      </c>
      <c r="F361" t="s">
        <v>13</v>
      </c>
      <c r="G361">
        <v>18.600000000000001</v>
      </c>
      <c r="H361" t="s">
        <v>72</v>
      </c>
      <c r="I361" t="s">
        <v>20</v>
      </c>
      <c r="J361" t="s">
        <v>461</v>
      </c>
      <c r="K361">
        <f>IF(tblPlacement[Placement_Status]="Placed",1,0)</f>
        <v>1</v>
      </c>
      <c r="L361" t="str">
        <f>IF(tblPlacement[CGPA]&gt;=9,"9+", IF(tblPlacement[CGPA]&gt;=8,"8-9",IF(tblPlacement[CGPA]&gt;=7,"7-8","Below 7")))</f>
        <v>8-9</v>
      </c>
      <c r="M361" t="str">
        <f>IF(tblPlacement[Package_LPA]&gt;=15,"High",IF(tblPlacement[Package_LPA]&gt;=8,"Medium","Low"))</f>
        <v>High</v>
      </c>
      <c r="N361">
        <f>IF(tblPlacement[Internship]="Yes",1,0)</f>
        <v>1</v>
      </c>
    </row>
    <row r="362" spans="1:14" x14ac:dyDescent="0.3">
      <c r="A362" t="s">
        <v>462</v>
      </c>
      <c r="B362" t="s">
        <v>17</v>
      </c>
      <c r="C362">
        <v>5.8</v>
      </c>
      <c r="D362" t="s">
        <v>22</v>
      </c>
      <c r="E362" t="s">
        <v>39</v>
      </c>
      <c r="F362" t="s">
        <v>32</v>
      </c>
      <c r="G362">
        <v>0</v>
      </c>
      <c r="H362" t="s">
        <v>33</v>
      </c>
      <c r="I362" t="s">
        <v>33</v>
      </c>
      <c r="J362" t="s">
        <v>462</v>
      </c>
      <c r="K362">
        <f>IF(tblPlacement[Placement_Status]="Placed",1,0)</f>
        <v>0</v>
      </c>
      <c r="L362" t="str">
        <f>IF(tblPlacement[CGPA]&gt;=9,"9+", IF(tblPlacement[CGPA]&gt;=8,"8-9",IF(tblPlacement[CGPA]&gt;=7,"7-8","Below 7")))</f>
        <v>Below 7</v>
      </c>
      <c r="M362" t="str">
        <f>IF(tblPlacement[Package_LPA]&gt;=15,"High",IF(tblPlacement[Package_LPA]&gt;=8,"Medium","Low"))</f>
        <v>Low</v>
      </c>
      <c r="N362">
        <f>IF(tblPlacement[Internship]="Yes",1,0)</f>
        <v>0</v>
      </c>
    </row>
    <row r="363" spans="1:14" x14ac:dyDescent="0.3">
      <c r="A363" t="s">
        <v>463</v>
      </c>
      <c r="B363" t="s">
        <v>20</v>
      </c>
      <c r="C363">
        <v>5.8</v>
      </c>
      <c r="D363" t="s">
        <v>11</v>
      </c>
      <c r="E363" t="s">
        <v>23</v>
      </c>
      <c r="F363" t="s">
        <v>13</v>
      </c>
      <c r="G363">
        <v>17.399999999999999</v>
      </c>
      <c r="H363" t="s">
        <v>51</v>
      </c>
      <c r="I363" t="s">
        <v>20</v>
      </c>
      <c r="J363" t="s">
        <v>463</v>
      </c>
      <c r="K363">
        <f>IF(tblPlacement[Placement_Status]="Placed",1,0)</f>
        <v>1</v>
      </c>
      <c r="L363" t="str">
        <f>IF(tblPlacement[CGPA]&gt;=9,"9+", IF(tblPlacement[CGPA]&gt;=8,"8-9",IF(tblPlacement[CGPA]&gt;=7,"7-8","Below 7")))</f>
        <v>Below 7</v>
      </c>
      <c r="M363" t="str">
        <f>IF(tblPlacement[Package_LPA]&gt;=15,"High",IF(tblPlacement[Package_LPA]&gt;=8,"Medium","Low"))</f>
        <v>High</v>
      </c>
      <c r="N363">
        <f>IF(tblPlacement[Internship]="Yes",1,0)</f>
        <v>1</v>
      </c>
    </row>
    <row r="364" spans="1:14" x14ac:dyDescent="0.3">
      <c r="A364" t="s">
        <v>464</v>
      </c>
      <c r="B364" t="s">
        <v>10</v>
      </c>
      <c r="C364">
        <v>6.6</v>
      </c>
      <c r="D364" t="s">
        <v>11</v>
      </c>
      <c r="E364" t="s">
        <v>12</v>
      </c>
      <c r="F364" t="s">
        <v>32</v>
      </c>
      <c r="G364">
        <v>0</v>
      </c>
      <c r="H364" t="s">
        <v>33</v>
      </c>
      <c r="I364" t="s">
        <v>33</v>
      </c>
      <c r="J364" t="s">
        <v>464</v>
      </c>
      <c r="K364">
        <f>IF(tblPlacement[Placement_Status]="Placed",1,0)</f>
        <v>0</v>
      </c>
      <c r="L364" t="str">
        <f>IF(tblPlacement[CGPA]&gt;=9,"9+", IF(tblPlacement[CGPA]&gt;=8,"8-9",IF(tblPlacement[CGPA]&gt;=7,"7-8","Below 7")))</f>
        <v>Below 7</v>
      </c>
      <c r="M364" t="str">
        <f>IF(tblPlacement[Package_LPA]&gt;=15,"High",IF(tblPlacement[Package_LPA]&gt;=8,"Medium","Low"))</f>
        <v>Low</v>
      </c>
      <c r="N364">
        <f>IF(tblPlacement[Internship]="Yes",1,0)</f>
        <v>1</v>
      </c>
    </row>
    <row r="365" spans="1:14" x14ac:dyDescent="0.3">
      <c r="A365" t="s">
        <v>465</v>
      </c>
      <c r="B365" t="s">
        <v>20</v>
      </c>
      <c r="C365">
        <v>5.5</v>
      </c>
      <c r="D365" t="s">
        <v>22</v>
      </c>
      <c r="E365" t="s">
        <v>86</v>
      </c>
      <c r="F365" t="s">
        <v>13</v>
      </c>
      <c r="G365">
        <v>11.4</v>
      </c>
      <c r="H365" t="s">
        <v>19</v>
      </c>
      <c r="I365" t="s">
        <v>20</v>
      </c>
      <c r="J365" t="s">
        <v>465</v>
      </c>
      <c r="K365">
        <f>IF(tblPlacement[Placement_Status]="Placed",1,0)</f>
        <v>1</v>
      </c>
      <c r="L365" t="str">
        <f>IF(tblPlacement[CGPA]&gt;=9,"9+", IF(tblPlacement[CGPA]&gt;=8,"8-9",IF(tblPlacement[CGPA]&gt;=7,"7-8","Below 7")))</f>
        <v>Below 7</v>
      </c>
      <c r="M365" t="str">
        <f>IF(tblPlacement[Package_LPA]&gt;=15,"High",IF(tblPlacement[Package_LPA]&gt;=8,"Medium","Low"))</f>
        <v>Medium</v>
      </c>
      <c r="N365">
        <f>IF(tblPlacement[Internship]="Yes",1,0)</f>
        <v>0</v>
      </c>
    </row>
    <row r="366" spans="1:14" x14ac:dyDescent="0.3">
      <c r="A366" t="s">
        <v>466</v>
      </c>
      <c r="B366" t="s">
        <v>30</v>
      </c>
      <c r="C366">
        <v>7.6</v>
      </c>
      <c r="D366" t="s">
        <v>22</v>
      </c>
      <c r="E366" t="s">
        <v>23</v>
      </c>
      <c r="F366" t="s">
        <v>32</v>
      </c>
      <c r="G366">
        <v>0</v>
      </c>
      <c r="H366" t="s">
        <v>33</v>
      </c>
      <c r="I366" t="s">
        <v>33</v>
      </c>
      <c r="J366" t="s">
        <v>466</v>
      </c>
      <c r="K366">
        <f>IF(tblPlacement[Placement_Status]="Placed",1,0)</f>
        <v>0</v>
      </c>
      <c r="L366" t="str">
        <f>IF(tblPlacement[CGPA]&gt;=9,"9+", IF(tblPlacement[CGPA]&gt;=8,"8-9",IF(tblPlacement[CGPA]&gt;=7,"7-8","Below 7")))</f>
        <v>7-8</v>
      </c>
      <c r="M366" t="str">
        <f>IF(tblPlacement[Package_LPA]&gt;=15,"High",IF(tblPlacement[Package_LPA]&gt;=8,"Medium","Low"))</f>
        <v>Low</v>
      </c>
      <c r="N366">
        <f>IF(tblPlacement[Internship]="Yes",1,0)</f>
        <v>0</v>
      </c>
    </row>
    <row r="367" spans="1:14" x14ac:dyDescent="0.3">
      <c r="A367" t="s">
        <v>467</v>
      </c>
      <c r="B367" t="s">
        <v>17</v>
      </c>
      <c r="C367">
        <v>9.1999999999999993</v>
      </c>
      <c r="D367" t="s">
        <v>11</v>
      </c>
      <c r="E367" t="s">
        <v>39</v>
      </c>
      <c r="F367" t="s">
        <v>13</v>
      </c>
      <c r="G367">
        <v>22.5</v>
      </c>
      <c r="H367" t="s">
        <v>81</v>
      </c>
      <c r="I367" t="s">
        <v>20</v>
      </c>
      <c r="J367" t="s">
        <v>467</v>
      </c>
      <c r="K367">
        <f>IF(tblPlacement[Placement_Status]="Placed",1,0)</f>
        <v>1</v>
      </c>
      <c r="L367" t="str">
        <f>IF(tblPlacement[CGPA]&gt;=9,"9+", IF(tblPlacement[CGPA]&gt;=8,"8-9",IF(tblPlacement[CGPA]&gt;=7,"7-8","Below 7")))</f>
        <v>9+</v>
      </c>
      <c r="M367" t="str">
        <f>IF(tblPlacement[Package_LPA]&gt;=15,"High",IF(tblPlacement[Package_LPA]&gt;=8,"Medium","Low"))</f>
        <v>High</v>
      </c>
      <c r="N367">
        <f>IF(tblPlacement[Internship]="Yes",1,0)</f>
        <v>1</v>
      </c>
    </row>
    <row r="368" spans="1:14" x14ac:dyDescent="0.3">
      <c r="A368" t="s">
        <v>468</v>
      </c>
      <c r="B368" t="s">
        <v>17</v>
      </c>
      <c r="C368">
        <v>5.5</v>
      </c>
      <c r="D368" t="s">
        <v>11</v>
      </c>
      <c r="E368" t="s">
        <v>18</v>
      </c>
      <c r="F368" t="s">
        <v>32</v>
      </c>
      <c r="G368">
        <v>0</v>
      </c>
      <c r="H368" t="s">
        <v>33</v>
      </c>
      <c r="I368" t="s">
        <v>33</v>
      </c>
      <c r="J368" t="s">
        <v>468</v>
      </c>
      <c r="K368">
        <f>IF(tblPlacement[Placement_Status]="Placed",1,0)</f>
        <v>0</v>
      </c>
      <c r="L368" t="str">
        <f>IF(tblPlacement[CGPA]&gt;=9,"9+", IF(tblPlacement[CGPA]&gt;=8,"8-9",IF(tblPlacement[CGPA]&gt;=7,"7-8","Below 7")))</f>
        <v>Below 7</v>
      </c>
      <c r="M368" t="str">
        <f>IF(tblPlacement[Package_LPA]&gt;=15,"High",IF(tblPlacement[Package_LPA]&gt;=8,"Medium","Low"))</f>
        <v>Low</v>
      </c>
      <c r="N368">
        <f>IF(tblPlacement[Internship]="Yes",1,0)</f>
        <v>1</v>
      </c>
    </row>
    <row r="369" spans="1:14" x14ac:dyDescent="0.3">
      <c r="A369" t="s">
        <v>469</v>
      </c>
      <c r="B369" t="s">
        <v>26</v>
      </c>
      <c r="C369">
        <v>7</v>
      </c>
      <c r="D369" t="s">
        <v>11</v>
      </c>
      <c r="E369" t="s">
        <v>138</v>
      </c>
      <c r="F369" t="s">
        <v>13</v>
      </c>
      <c r="G369">
        <v>6.1</v>
      </c>
      <c r="H369" t="s">
        <v>344</v>
      </c>
      <c r="I369" t="s">
        <v>26</v>
      </c>
      <c r="J369" t="s">
        <v>469</v>
      </c>
      <c r="K369">
        <f>IF(tblPlacement[Placement_Status]="Placed",1,0)</f>
        <v>1</v>
      </c>
      <c r="L369" t="str">
        <f>IF(tblPlacement[CGPA]&gt;=9,"9+", IF(tblPlacement[CGPA]&gt;=8,"8-9",IF(tblPlacement[CGPA]&gt;=7,"7-8","Below 7")))</f>
        <v>7-8</v>
      </c>
      <c r="M369" t="str">
        <f>IF(tblPlacement[Package_LPA]&gt;=15,"High",IF(tblPlacement[Package_LPA]&gt;=8,"Medium","Low"))</f>
        <v>Low</v>
      </c>
      <c r="N369">
        <f>IF(tblPlacement[Internship]="Yes",1,0)</f>
        <v>1</v>
      </c>
    </row>
    <row r="370" spans="1:14" x14ac:dyDescent="0.3">
      <c r="A370" t="s">
        <v>470</v>
      </c>
      <c r="B370" t="s">
        <v>20</v>
      </c>
      <c r="C370">
        <v>7.6</v>
      </c>
      <c r="D370" t="s">
        <v>11</v>
      </c>
      <c r="E370" t="s">
        <v>39</v>
      </c>
      <c r="F370" t="s">
        <v>13</v>
      </c>
      <c r="G370">
        <v>9.3000000000000007</v>
      </c>
      <c r="H370" t="s">
        <v>72</v>
      </c>
      <c r="I370" t="s">
        <v>20</v>
      </c>
      <c r="J370" t="s">
        <v>470</v>
      </c>
      <c r="K370">
        <f>IF(tblPlacement[Placement_Status]="Placed",1,0)</f>
        <v>1</v>
      </c>
      <c r="L370" t="str">
        <f>IF(tblPlacement[CGPA]&gt;=9,"9+", IF(tblPlacement[CGPA]&gt;=8,"8-9",IF(tblPlacement[CGPA]&gt;=7,"7-8","Below 7")))</f>
        <v>7-8</v>
      </c>
      <c r="M370" t="str">
        <f>IF(tblPlacement[Package_LPA]&gt;=15,"High",IF(tblPlacement[Package_LPA]&gt;=8,"Medium","Low"))</f>
        <v>Medium</v>
      </c>
      <c r="N370">
        <f>IF(tblPlacement[Internship]="Yes",1,0)</f>
        <v>1</v>
      </c>
    </row>
    <row r="371" spans="1:14" x14ac:dyDescent="0.3">
      <c r="A371" t="s">
        <v>471</v>
      </c>
      <c r="B371" t="s">
        <v>20</v>
      </c>
      <c r="C371">
        <v>9.6</v>
      </c>
      <c r="D371" t="s">
        <v>11</v>
      </c>
      <c r="E371" t="s">
        <v>86</v>
      </c>
      <c r="F371" t="s">
        <v>13</v>
      </c>
      <c r="G371">
        <v>14.1</v>
      </c>
      <c r="H371" t="s">
        <v>72</v>
      </c>
      <c r="I371" t="s">
        <v>20</v>
      </c>
      <c r="J371" t="s">
        <v>471</v>
      </c>
      <c r="K371">
        <f>IF(tblPlacement[Placement_Status]="Placed",1,0)</f>
        <v>1</v>
      </c>
      <c r="L371" t="str">
        <f>IF(tblPlacement[CGPA]&gt;=9,"9+", IF(tblPlacement[CGPA]&gt;=8,"8-9",IF(tblPlacement[CGPA]&gt;=7,"7-8","Below 7")))</f>
        <v>9+</v>
      </c>
      <c r="M371" t="str">
        <f>IF(tblPlacement[Package_LPA]&gt;=15,"High",IF(tblPlacement[Package_LPA]&gt;=8,"Medium","Low"))</f>
        <v>Medium</v>
      </c>
      <c r="N371">
        <f>IF(tblPlacement[Internship]="Yes",1,0)</f>
        <v>1</v>
      </c>
    </row>
    <row r="372" spans="1:14" x14ac:dyDescent="0.3">
      <c r="A372" t="s">
        <v>472</v>
      </c>
      <c r="B372" t="s">
        <v>20</v>
      </c>
      <c r="C372">
        <v>8.6</v>
      </c>
      <c r="D372" t="s">
        <v>22</v>
      </c>
      <c r="E372" t="s">
        <v>23</v>
      </c>
      <c r="F372" t="s">
        <v>13</v>
      </c>
      <c r="G372">
        <v>6.8</v>
      </c>
      <c r="H372" t="s">
        <v>51</v>
      </c>
      <c r="I372" t="s">
        <v>20</v>
      </c>
      <c r="J372" t="s">
        <v>472</v>
      </c>
      <c r="K372">
        <f>IF(tblPlacement[Placement_Status]="Placed",1,0)</f>
        <v>1</v>
      </c>
      <c r="L372" t="str">
        <f>IF(tblPlacement[CGPA]&gt;=9,"9+", IF(tblPlacement[CGPA]&gt;=8,"8-9",IF(tblPlacement[CGPA]&gt;=7,"7-8","Below 7")))</f>
        <v>8-9</v>
      </c>
      <c r="M372" t="str">
        <f>IF(tblPlacement[Package_LPA]&gt;=15,"High",IF(tblPlacement[Package_LPA]&gt;=8,"Medium","Low"))</f>
        <v>Low</v>
      </c>
      <c r="N372">
        <f>IF(tblPlacement[Internship]="Yes",1,0)</f>
        <v>0</v>
      </c>
    </row>
    <row r="373" spans="1:14" x14ac:dyDescent="0.3">
      <c r="A373" t="s">
        <v>473</v>
      </c>
      <c r="B373" t="s">
        <v>26</v>
      </c>
      <c r="C373">
        <v>7.6</v>
      </c>
      <c r="D373" t="s">
        <v>22</v>
      </c>
      <c r="E373" t="s">
        <v>63</v>
      </c>
      <c r="F373" t="s">
        <v>13</v>
      </c>
      <c r="G373">
        <v>11.6</v>
      </c>
      <c r="H373" t="s">
        <v>368</v>
      </c>
      <c r="I373" t="s">
        <v>65</v>
      </c>
      <c r="J373" t="s">
        <v>473</v>
      </c>
      <c r="K373">
        <f>IF(tblPlacement[Placement_Status]="Placed",1,0)</f>
        <v>1</v>
      </c>
      <c r="L373" t="str">
        <f>IF(tblPlacement[CGPA]&gt;=9,"9+", IF(tblPlacement[CGPA]&gt;=8,"8-9",IF(tblPlacement[CGPA]&gt;=7,"7-8","Below 7")))</f>
        <v>7-8</v>
      </c>
      <c r="M373" t="str">
        <f>IF(tblPlacement[Package_LPA]&gt;=15,"High",IF(tblPlacement[Package_LPA]&gt;=8,"Medium","Low"))</f>
        <v>Medium</v>
      </c>
      <c r="N373">
        <f>IF(tblPlacement[Internship]="Yes",1,0)</f>
        <v>0</v>
      </c>
    </row>
    <row r="374" spans="1:14" x14ac:dyDescent="0.3">
      <c r="A374" t="s">
        <v>474</v>
      </c>
      <c r="B374" t="s">
        <v>17</v>
      </c>
      <c r="C374">
        <v>9.3000000000000007</v>
      </c>
      <c r="D374" t="s">
        <v>11</v>
      </c>
      <c r="E374" t="s">
        <v>86</v>
      </c>
      <c r="F374" t="s">
        <v>13</v>
      </c>
      <c r="G374">
        <v>18.3</v>
      </c>
      <c r="H374" t="s">
        <v>24</v>
      </c>
      <c r="I374" t="s">
        <v>20</v>
      </c>
      <c r="J374" t="s">
        <v>474</v>
      </c>
      <c r="K374">
        <f>IF(tblPlacement[Placement_Status]="Placed",1,0)</f>
        <v>1</v>
      </c>
      <c r="L374" t="str">
        <f>IF(tblPlacement[CGPA]&gt;=9,"9+", IF(tblPlacement[CGPA]&gt;=8,"8-9",IF(tblPlacement[CGPA]&gt;=7,"7-8","Below 7")))</f>
        <v>9+</v>
      </c>
      <c r="M374" t="str">
        <f>IF(tblPlacement[Package_LPA]&gt;=15,"High",IF(tblPlacement[Package_LPA]&gt;=8,"Medium","Low"))</f>
        <v>High</v>
      </c>
      <c r="N374">
        <f>IF(tblPlacement[Internship]="Yes",1,0)</f>
        <v>1</v>
      </c>
    </row>
    <row r="375" spans="1:14" x14ac:dyDescent="0.3">
      <c r="A375" t="s">
        <v>475</v>
      </c>
      <c r="B375" t="s">
        <v>17</v>
      </c>
      <c r="C375">
        <v>7.3</v>
      </c>
      <c r="D375" t="s">
        <v>11</v>
      </c>
      <c r="E375" t="s">
        <v>76</v>
      </c>
      <c r="F375" t="s">
        <v>32</v>
      </c>
      <c r="G375">
        <v>0</v>
      </c>
      <c r="H375" t="s">
        <v>33</v>
      </c>
      <c r="I375" t="s">
        <v>33</v>
      </c>
      <c r="J375" t="s">
        <v>475</v>
      </c>
      <c r="K375">
        <f>IF(tblPlacement[Placement_Status]="Placed",1,0)</f>
        <v>0</v>
      </c>
      <c r="L375" t="str">
        <f>IF(tblPlacement[CGPA]&gt;=9,"9+", IF(tblPlacement[CGPA]&gt;=8,"8-9",IF(tblPlacement[CGPA]&gt;=7,"7-8","Below 7")))</f>
        <v>7-8</v>
      </c>
      <c r="M375" t="str">
        <f>IF(tblPlacement[Package_LPA]&gt;=15,"High",IF(tblPlacement[Package_LPA]&gt;=8,"Medium","Low"))</f>
        <v>Low</v>
      </c>
      <c r="N375">
        <f>IF(tblPlacement[Internship]="Yes",1,0)</f>
        <v>1</v>
      </c>
    </row>
    <row r="376" spans="1:14" x14ac:dyDescent="0.3">
      <c r="A376" t="s">
        <v>476</v>
      </c>
      <c r="B376" t="s">
        <v>17</v>
      </c>
      <c r="C376">
        <v>5.9</v>
      </c>
      <c r="D376" t="s">
        <v>22</v>
      </c>
      <c r="E376" t="s">
        <v>46</v>
      </c>
      <c r="F376" t="s">
        <v>13</v>
      </c>
      <c r="G376">
        <v>16</v>
      </c>
      <c r="H376" t="s">
        <v>51</v>
      </c>
      <c r="I376" t="s">
        <v>20</v>
      </c>
      <c r="J376" t="s">
        <v>476</v>
      </c>
      <c r="K376">
        <f>IF(tblPlacement[Placement_Status]="Placed",1,0)</f>
        <v>1</v>
      </c>
      <c r="L376" t="str">
        <f>IF(tblPlacement[CGPA]&gt;=9,"9+", IF(tblPlacement[CGPA]&gt;=8,"8-9",IF(tblPlacement[CGPA]&gt;=7,"7-8","Below 7")))</f>
        <v>Below 7</v>
      </c>
      <c r="M376" t="str">
        <f>IF(tblPlacement[Package_LPA]&gt;=15,"High",IF(tblPlacement[Package_LPA]&gt;=8,"Medium","Low"))</f>
        <v>High</v>
      </c>
      <c r="N376">
        <f>IF(tblPlacement[Internship]="Yes",1,0)</f>
        <v>0</v>
      </c>
    </row>
    <row r="377" spans="1:14" x14ac:dyDescent="0.3">
      <c r="A377" t="s">
        <v>477</v>
      </c>
      <c r="B377" t="s">
        <v>17</v>
      </c>
      <c r="C377">
        <v>5.4</v>
      </c>
      <c r="D377" t="s">
        <v>11</v>
      </c>
      <c r="E377" t="s">
        <v>23</v>
      </c>
      <c r="F377" t="s">
        <v>13</v>
      </c>
      <c r="G377">
        <v>16.7</v>
      </c>
      <c r="H377" t="s">
        <v>53</v>
      </c>
      <c r="I377" t="s">
        <v>20</v>
      </c>
      <c r="J377" t="s">
        <v>477</v>
      </c>
      <c r="K377">
        <f>IF(tblPlacement[Placement_Status]="Placed",1,0)</f>
        <v>1</v>
      </c>
      <c r="L377" t="str">
        <f>IF(tblPlacement[CGPA]&gt;=9,"9+", IF(tblPlacement[CGPA]&gt;=8,"8-9",IF(tblPlacement[CGPA]&gt;=7,"7-8","Below 7")))</f>
        <v>Below 7</v>
      </c>
      <c r="M377" t="str">
        <f>IF(tblPlacement[Package_LPA]&gt;=15,"High",IF(tblPlacement[Package_LPA]&gt;=8,"Medium","Low"))</f>
        <v>High</v>
      </c>
      <c r="N377">
        <f>IF(tblPlacement[Internship]="Yes",1,0)</f>
        <v>1</v>
      </c>
    </row>
    <row r="378" spans="1:14" x14ac:dyDescent="0.3">
      <c r="A378" t="s">
        <v>478</v>
      </c>
      <c r="B378" t="s">
        <v>10</v>
      </c>
      <c r="C378">
        <v>8.1999999999999993</v>
      </c>
      <c r="D378" t="s">
        <v>11</v>
      </c>
      <c r="E378" t="s">
        <v>12</v>
      </c>
      <c r="F378" t="s">
        <v>13</v>
      </c>
      <c r="G378">
        <v>11.1</v>
      </c>
      <c r="H378" t="s">
        <v>14</v>
      </c>
      <c r="I378" t="s">
        <v>15</v>
      </c>
      <c r="J378" t="s">
        <v>478</v>
      </c>
      <c r="K378">
        <f>IF(tblPlacement[Placement_Status]="Placed",1,0)</f>
        <v>1</v>
      </c>
      <c r="L378" t="str">
        <f>IF(tblPlacement[CGPA]&gt;=9,"9+", IF(tblPlacement[CGPA]&gt;=8,"8-9",IF(tblPlacement[CGPA]&gt;=7,"7-8","Below 7")))</f>
        <v>8-9</v>
      </c>
      <c r="M378" t="str">
        <f>IF(tblPlacement[Package_LPA]&gt;=15,"High",IF(tblPlacement[Package_LPA]&gt;=8,"Medium","Low"))</f>
        <v>Medium</v>
      </c>
      <c r="N378">
        <f>IF(tblPlacement[Internship]="Yes",1,0)</f>
        <v>1</v>
      </c>
    </row>
    <row r="379" spans="1:14" x14ac:dyDescent="0.3">
      <c r="A379" t="s">
        <v>479</v>
      </c>
      <c r="B379" t="s">
        <v>17</v>
      </c>
      <c r="C379">
        <v>8.3000000000000007</v>
      </c>
      <c r="D379" t="s">
        <v>11</v>
      </c>
      <c r="E379" t="s">
        <v>136</v>
      </c>
      <c r="F379" t="s">
        <v>32</v>
      </c>
      <c r="G379">
        <v>0</v>
      </c>
      <c r="H379" t="s">
        <v>33</v>
      </c>
      <c r="I379" t="s">
        <v>33</v>
      </c>
      <c r="J379" t="s">
        <v>479</v>
      </c>
      <c r="K379">
        <f>IF(tblPlacement[Placement_Status]="Placed",1,0)</f>
        <v>0</v>
      </c>
      <c r="L379" t="str">
        <f>IF(tblPlacement[CGPA]&gt;=9,"9+", IF(tblPlacement[CGPA]&gt;=8,"8-9",IF(tblPlacement[CGPA]&gt;=7,"7-8","Below 7")))</f>
        <v>8-9</v>
      </c>
      <c r="M379" t="str">
        <f>IF(tblPlacement[Package_LPA]&gt;=15,"High",IF(tblPlacement[Package_LPA]&gt;=8,"Medium","Low"))</f>
        <v>Low</v>
      </c>
      <c r="N379">
        <f>IF(tblPlacement[Internship]="Yes",1,0)</f>
        <v>1</v>
      </c>
    </row>
    <row r="380" spans="1:14" x14ac:dyDescent="0.3">
      <c r="A380" t="s">
        <v>480</v>
      </c>
      <c r="B380" t="s">
        <v>131</v>
      </c>
      <c r="C380">
        <v>9.6</v>
      </c>
      <c r="D380" t="s">
        <v>11</v>
      </c>
      <c r="E380" t="s">
        <v>132</v>
      </c>
      <c r="F380" t="s">
        <v>32</v>
      </c>
      <c r="G380">
        <v>0</v>
      </c>
      <c r="H380" t="s">
        <v>33</v>
      </c>
      <c r="I380" t="s">
        <v>33</v>
      </c>
      <c r="J380" t="s">
        <v>480</v>
      </c>
      <c r="K380">
        <f>IF(tblPlacement[Placement_Status]="Placed",1,0)</f>
        <v>0</v>
      </c>
      <c r="L380" t="str">
        <f>IF(tblPlacement[CGPA]&gt;=9,"9+", IF(tblPlacement[CGPA]&gt;=8,"8-9",IF(tblPlacement[CGPA]&gt;=7,"7-8","Below 7")))</f>
        <v>9+</v>
      </c>
      <c r="M380" t="str">
        <f>IF(tblPlacement[Package_LPA]&gt;=15,"High",IF(tblPlacement[Package_LPA]&gt;=8,"Medium","Low"))</f>
        <v>Low</v>
      </c>
      <c r="N380">
        <f>IF(tblPlacement[Internship]="Yes",1,0)</f>
        <v>1</v>
      </c>
    </row>
    <row r="381" spans="1:14" x14ac:dyDescent="0.3">
      <c r="A381" t="s">
        <v>481</v>
      </c>
      <c r="B381" t="s">
        <v>43</v>
      </c>
      <c r="C381">
        <v>6.6</v>
      </c>
      <c r="D381" t="s">
        <v>11</v>
      </c>
      <c r="E381" t="s">
        <v>165</v>
      </c>
      <c r="F381" t="s">
        <v>13</v>
      </c>
      <c r="G381">
        <v>11.9</v>
      </c>
      <c r="H381" t="s">
        <v>182</v>
      </c>
      <c r="I381" t="s">
        <v>43</v>
      </c>
      <c r="J381" t="s">
        <v>481</v>
      </c>
      <c r="K381">
        <f>IF(tblPlacement[Placement_Status]="Placed",1,0)</f>
        <v>1</v>
      </c>
      <c r="L381" t="str">
        <f>IF(tblPlacement[CGPA]&gt;=9,"9+", IF(tblPlacement[CGPA]&gt;=8,"8-9",IF(tblPlacement[CGPA]&gt;=7,"7-8","Below 7")))</f>
        <v>Below 7</v>
      </c>
      <c r="M381" t="str">
        <f>IF(tblPlacement[Package_LPA]&gt;=15,"High",IF(tblPlacement[Package_LPA]&gt;=8,"Medium","Low"))</f>
        <v>Medium</v>
      </c>
      <c r="N381">
        <f>IF(tblPlacement[Internship]="Yes",1,0)</f>
        <v>1</v>
      </c>
    </row>
    <row r="382" spans="1:14" x14ac:dyDescent="0.3">
      <c r="A382" t="s">
        <v>482</v>
      </c>
      <c r="B382" t="s">
        <v>17</v>
      </c>
      <c r="C382">
        <v>6.9</v>
      </c>
      <c r="D382" t="s">
        <v>22</v>
      </c>
      <c r="E382" t="s">
        <v>136</v>
      </c>
      <c r="F382" t="s">
        <v>32</v>
      </c>
      <c r="G382">
        <v>0</v>
      </c>
      <c r="H382" t="s">
        <v>33</v>
      </c>
      <c r="I382" t="s">
        <v>33</v>
      </c>
      <c r="J382" t="s">
        <v>482</v>
      </c>
      <c r="K382">
        <f>IF(tblPlacement[Placement_Status]="Placed",1,0)</f>
        <v>0</v>
      </c>
      <c r="L382" t="str">
        <f>IF(tblPlacement[CGPA]&gt;=9,"9+", IF(tblPlacement[CGPA]&gt;=8,"8-9",IF(tblPlacement[CGPA]&gt;=7,"7-8","Below 7")))</f>
        <v>Below 7</v>
      </c>
      <c r="M382" t="str">
        <f>IF(tblPlacement[Package_LPA]&gt;=15,"High",IF(tblPlacement[Package_LPA]&gt;=8,"Medium","Low"))</f>
        <v>Low</v>
      </c>
      <c r="N382">
        <f>IF(tblPlacement[Internship]="Yes",1,0)</f>
        <v>0</v>
      </c>
    </row>
    <row r="383" spans="1:14" x14ac:dyDescent="0.3">
      <c r="A383" t="s">
        <v>483</v>
      </c>
      <c r="B383" t="s">
        <v>30</v>
      </c>
      <c r="C383">
        <v>8.9</v>
      </c>
      <c r="D383" t="s">
        <v>11</v>
      </c>
      <c r="E383" t="s">
        <v>141</v>
      </c>
      <c r="F383" t="s">
        <v>13</v>
      </c>
      <c r="G383">
        <v>18.100000000000001</v>
      </c>
      <c r="H383" t="s">
        <v>484</v>
      </c>
      <c r="I383" t="s">
        <v>37</v>
      </c>
      <c r="J383" t="s">
        <v>483</v>
      </c>
      <c r="K383">
        <f>IF(tblPlacement[Placement_Status]="Placed",1,0)</f>
        <v>1</v>
      </c>
      <c r="L383" t="str">
        <f>IF(tblPlacement[CGPA]&gt;=9,"9+", IF(tblPlacement[CGPA]&gt;=8,"8-9",IF(tblPlacement[CGPA]&gt;=7,"7-8","Below 7")))</f>
        <v>8-9</v>
      </c>
      <c r="M383" t="str">
        <f>IF(tblPlacement[Package_LPA]&gt;=15,"High",IF(tblPlacement[Package_LPA]&gt;=8,"Medium","Low"))</f>
        <v>High</v>
      </c>
      <c r="N383">
        <f>IF(tblPlacement[Internship]="Yes",1,0)</f>
        <v>1</v>
      </c>
    </row>
    <row r="384" spans="1:14" x14ac:dyDescent="0.3">
      <c r="A384" t="s">
        <v>485</v>
      </c>
      <c r="B384" t="s">
        <v>10</v>
      </c>
      <c r="C384">
        <v>9.1</v>
      </c>
      <c r="D384" t="s">
        <v>22</v>
      </c>
      <c r="E384" t="s">
        <v>112</v>
      </c>
      <c r="F384" t="s">
        <v>13</v>
      </c>
      <c r="G384">
        <v>16.3</v>
      </c>
      <c r="H384" t="s">
        <v>104</v>
      </c>
      <c r="I384" t="s">
        <v>15</v>
      </c>
      <c r="J384" t="s">
        <v>485</v>
      </c>
      <c r="K384">
        <f>IF(tblPlacement[Placement_Status]="Placed",1,0)</f>
        <v>1</v>
      </c>
      <c r="L384" t="str">
        <f>IF(tblPlacement[CGPA]&gt;=9,"9+", IF(tblPlacement[CGPA]&gt;=8,"8-9",IF(tblPlacement[CGPA]&gt;=7,"7-8","Below 7")))</f>
        <v>9+</v>
      </c>
      <c r="M384" t="str">
        <f>IF(tblPlacement[Package_LPA]&gt;=15,"High",IF(tblPlacement[Package_LPA]&gt;=8,"Medium","Low"))</f>
        <v>High</v>
      </c>
      <c r="N384">
        <f>IF(tblPlacement[Internship]="Yes",1,0)</f>
        <v>0</v>
      </c>
    </row>
    <row r="385" spans="1:14" x14ac:dyDescent="0.3">
      <c r="A385" t="s">
        <v>486</v>
      </c>
      <c r="B385" t="s">
        <v>17</v>
      </c>
      <c r="C385">
        <v>6.5</v>
      </c>
      <c r="D385" t="s">
        <v>11</v>
      </c>
      <c r="E385" t="s">
        <v>136</v>
      </c>
      <c r="F385" t="s">
        <v>32</v>
      </c>
      <c r="G385">
        <v>0</v>
      </c>
      <c r="H385" t="s">
        <v>33</v>
      </c>
      <c r="I385" t="s">
        <v>33</v>
      </c>
      <c r="J385" t="s">
        <v>486</v>
      </c>
      <c r="K385">
        <f>IF(tblPlacement[Placement_Status]="Placed",1,0)</f>
        <v>0</v>
      </c>
      <c r="L385" t="str">
        <f>IF(tblPlacement[CGPA]&gt;=9,"9+", IF(tblPlacement[CGPA]&gt;=8,"8-9",IF(tblPlacement[CGPA]&gt;=7,"7-8","Below 7")))</f>
        <v>Below 7</v>
      </c>
      <c r="M385" t="str">
        <f>IF(tblPlacement[Package_LPA]&gt;=15,"High",IF(tblPlacement[Package_LPA]&gt;=8,"Medium","Low"))</f>
        <v>Low</v>
      </c>
      <c r="N385">
        <f>IF(tblPlacement[Internship]="Yes",1,0)</f>
        <v>1</v>
      </c>
    </row>
    <row r="386" spans="1:14" x14ac:dyDescent="0.3">
      <c r="A386" t="s">
        <v>487</v>
      </c>
      <c r="B386" t="s">
        <v>30</v>
      </c>
      <c r="C386">
        <v>8.4</v>
      </c>
      <c r="D386" t="s">
        <v>11</v>
      </c>
      <c r="E386" t="s">
        <v>35</v>
      </c>
      <c r="F386" t="s">
        <v>13</v>
      </c>
      <c r="G386">
        <v>5.7</v>
      </c>
      <c r="H386" t="s">
        <v>142</v>
      </c>
      <c r="I386" t="s">
        <v>37</v>
      </c>
      <c r="J386" t="s">
        <v>487</v>
      </c>
      <c r="K386">
        <f>IF(tblPlacement[Placement_Status]="Placed",1,0)</f>
        <v>1</v>
      </c>
      <c r="L386" t="str">
        <f>IF(tblPlacement[CGPA]&gt;=9,"9+", IF(tblPlacement[CGPA]&gt;=8,"8-9",IF(tblPlacement[CGPA]&gt;=7,"7-8","Below 7")))</f>
        <v>8-9</v>
      </c>
      <c r="M386" t="str">
        <f>IF(tblPlacement[Package_LPA]&gt;=15,"High",IF(tblPlacement[Package_LPA]&gt;=8,"Medium","Low"))</f>
        <v>Low</v>
      </c>
      <c r="N386">
        <f>IF(tblPlacement[Internship]="Yes",1,0)</f>
        <v>1</v>
      </c>
    </row>
    <row r="387" spans="1:14" x14ac:dyDescent="0.3">
      <c r="A387" t="s">
        <v>488</v>
      </c>
      <c r="B387" t="s">
        <v>30</v>
      </c>
      <c r="C387">
        <v>7.2</v>
      </c>
      <c r="D387" t="s">
        <v>22</v>
      </c>
      <c r="E387" t="s">
        <v>18</v>
      </c>
      <c r="F387" t="s">
        <v>13</v>
      </c>
      <c r="G387">
        <v>14.4</v>
      </c>
      <c r="H387" t="s">
        <v>47</v>
      </c>
      <c r="I387" t="s">
        <v>20</v>
      </c>
      <c r="J387" t="s">
        <v>488</v>
      </c>
      <c r="K387">
        <f>IF(tblPlacement[Placement_Status]="Placed",1,0)</f>
        <v>1</v>
      </c>
      <c r="L387" t="str">
        <f>IF(tblPlacement[CGPA]&gt;=9,"9+", IF(tblPlacement[CGPA]&gt;=8,"8-9",IF(tblPlacement[CGPA]&gt;=7,"7-8","Below 7")))</f>
        <v>7-8</v>
      </c>
      <c r="M387" t="str">
        <f>IF(tblPlacement[Package_LPA]&gt;=15,"High",IF(tblPlacement[Package_LPA]&gt;=8,"Medium","Low"))</f>
        <v>Medium</v>
      </c>
      <c r="N387">
        <f>IF(tblPlacement[Internship]="Yes",1,0)</f>
        <v>0</v>
      </c>
    </row>
    <row r="388" spans="1:14" x14ac:dyDescent="0.3">
      <c r="A388" t="s">
        <v>489</v>
      </c>
      <c r="B388" t="s">
        <v>10</v>
      </c>
      <c r="C388">
        <v>6.7</v>
      </c>
      <c r="D388" t="s">
        <v>11</v>
      </c>
      <c r="E388" t="s">
        <v>112</v>
      </c>
      <c r="F388" t="s">
        <v>32</v>
      </c>
      <c r="G388">
        <v>0</v>
      </c>
      <c r="H388" t="s">
        <v>33</v>
      </c>
      <c r="I388" t="s">
        <v>33</v>
      </c>
      <c r="J388" t="s">
        <v>489</v>
      </c>
      <c r="K388">
        <f>IF(tblPlacement[Placement_Status]="Placed",1,0)</f>
        <v>0</v>
      </c>
      <c r="L388" t="str">
        <f>IF(tblPlacement[CGPA]&gt;=9,"9+", IF(tblPlacement[CGPA]&gt;=8,"8-9",IF(tblPlacement[CGPA]&gt;=7,"7-8","Below 7")))</f>
        <v>Below 7</v>
      </c>
      <c r="M388" t="str">
        <f>IF(tblPlacement[Package_LPA]&gt;=15,"High",IF(tblPlacement[Package_LPA]&gt;=8,"Medium","Low"))</f>
        <v>Low</v>
      </c>
      <c r="N388">
        <f>IF(tblPlacement[Internship]="Yes",1,0)</f>
        <v>1</v>
      </c>
    </row>
    <row r="389" spans="1:14" x14ac:dyDescent="0.3">
      <c r="A389" t="s">
        <v>490</v>
      </c>
      <c r="B389" t="s">
        <v>17</v>
      </c>
      <c r="C389">
        <v>8.6999999999999993</v>
      </c>
      <c r="D389" t="s">
        <v>11</v>
      </c>
      <c r="E389" t="s">
        <v>46</v>
      </c>
      <c r="F389" t="s">
        <v>13</v>
      </c>
      <c r="G389">
        <v>10.5</v>
      </c>
      <c r="H389" t="s">
        <v>115</v>
      </c>
      <c r="I389" t="s">
        <v>20</v>
      </c>
      <c r="J389" t="s">
        <v>490</v>
      </c>
      <c r="K389">
        <f>IF(tblPlacement[Placement_Status]="Placed",1,0)</f>
        <v>1</v>
      </c>
      <c r="L389" t="str">
        <f>IF(tblPlacement[CGPA]&gt;=9,"9+", IF(tblPlacement[CGPA]&gt;=8,"8-9",IF(tblPlacement[CGPA]&gt;=7,"7-8","Below 7")))</f>
        <v>8-9</v>
      </c>
      <c r="M389" t="str">
        <f>IF(tblPlacement[Package_LPA]&gt;=15,"High",IF(tblPlacement[Package_LPA]&gt;=8,"Medium","Low"))</f>
        <v>Medium</v>
      </c>
      <c r="N389">
        <f>IF(tblPlacement[Internship]="Yes",1,0)</f>
        <v>1</v>
      </c>
    </row>
    <row r="390" spans="1:14" x14ac:dyDescent="0.3">
      <c r="A390" t="s">
        <v>491</v>
      </c>
      <c r="B390" t="s">
        <v>30</v>
      </c>
      <c r="C390">
        <v>9.6</v>
      </c>
      <c r="D390" t="s">
        <v>11</v>
      </c>
      <c r="E390" t="s">
        <v>31</v>
      </c>
      <c r="F390" t="s">
        <v>13</v>
      </c>
      <c r="G390">
        <v>17.899999999999999</v>
      </c>
      <c r="H390" t="s">
        <v>56</v>
      </c>
      <c r="I390" t="s">
        <v>37</v>
      </c>
      <c r="J390" t="s">
        <v>491</v>
      </c>
      <c r="K390">
        <f>IF(tblPlacement[Placement_Status]="Placed",1,0)</f>
        <v>1</v>
      </c>
      <c r="L390" t="str">
        <f>IF(tblPlacement[CGPA]&gt;=9,"9+", IF(tblPlacement[CGPA]&gt;=8,"8-9",IF(tblPlacement[CGPA]&gt;=7,"7-8","Below 7")))</f>
        <v>9+</v>
      </c>
      <c r="M390" t="str">
        <f>IF(tblPlacement[Package_LPA]&gt;=15,"High",IF(tblPlacement[Package_LPA]&gt;=8,"Medium","Low"))</f>
        <v>High</v>
      </c>
      <c r="N390">
        <f>IF(tblPlacement[Internship]="Yes",1,0)</f>
        <v>1</v>
      </c>
    </row>
    <row r="391" spans="1:14" x14ac:dyDescent="0.3">
      <c r="A391" t="s">
        <v>492</v>
      </c>
      <c r="B391" t="s">
        <v>17</v>
      </c>
      <c r="C391">
        <v>9</v>
      </c>
      <c r="D391" t="s">
        <v>11</v>
      </c>
      <c r="E391" t="s">
        <v>46</v>
      </c>
      <c r="F391" t="s">
        <v>13</v>
      </c>
      <c r="G391">
        <v>14.6</v>
      </c>
      <c r="H391" t="s">
        <v>47</v>
      </c>
      <c r="I391" t="s">
        <v>20</v>
      </c>
      <c r="J391" t="s">
        <v>492</v>
      </c>
      <c r="K391">
        <f>IF(tblPlacement[Placement_Status]="Placed",1,0)</f>
        <v>1</v>
      </c>
      <c r="L391" t="str">
        <f>IF(tblPlacement[CGPA]&gt;=9,"9+", IF(tblPlacement[CGPA]&gt;=8,"8-9",IF(tblPlacement[CGPA]&gt;=7,"7-8","Below 7")))</f>
        <v>9+</v>
      </c>
      <c r="M391" t="str">
        <f>IF(tblPlacement[Package_LPA]&gt;=15,"High",IF(tblPlacement[Package_LPA]&gt;=8,"Medium","Low"))</f>
        <v>Medium</v>
      </c>
      <c r="N391">
        <f>IF(tblPlacement[Internship]="Yes",1,0)</f>
        <v>1</v>
      </c>
    </row>
    <row r="392" spans="1:14" x14ac:dyDescent="0.3">
      <c r="A392" t="s">
        <v>493</v>
      </c>
      <c r="B392" t="s">
        <v>17</v>
      </c>
      <c r="C392">
        <v>9.8000000000000007</v>
      </c>
      <c r="D392" t="s">
        <v>11</v>
      </c>
      <c r="E392" t="s">
        <v>86</v>
      </c>
      <c r="F392" t="s">
        <v>13</v>
      </c>
      <c r="G392">
        <v>14.6</v>
      </c>
      <c r="H392" t="s">
        <v>72</v>
      </c>
      <c r="I392" t="s">
        <v>20</v>
      </c>
      <c r="J392" t="s">
        <v>493</v>
      </c>
      <c r="K392">
        <f>IF(tblPlacement[Placement_Status]="Placed",1,0)</f>
        <v>1</v>
      </c>
      <c r="L392" t="str">
        <f>IF(tblPlacement[CGPA]&gt;=9,"9+", IF(tblPlacement[CGPA]&gt;=8,"8-9",IF(tblPlacement[CGPA]&gt;=7,"7-8","Below 7")))</f>
        <v>9+</v>
      </c>
      <c r="M392" t="str">
        <f>IF(tblPlacement[Package_LPA]&gt;=15,"High",IF(tblPlacement[Package_LPA]&gt;=8,"Medium","Low"))</f>
        <v>Medium</v>
      </c>
      <c r="N392">
        <f>IF(tblPlacement[Internship]="Yes",1,0)</f>
        <v>1</v>
      </c>
    </row>
    <row r="393" spans="1:14" x14ac:dyDescent="0.3">
      <c r="A393" t="s">
        <v>494</v>
      </c>
      <c r="B393" t="s">
        <v>17</v>
      </c>
      <c r="C393">
        <v>5.3</v>
      </c>
      <c r="D393" t="s">
        <v>22</v>
      </c>
      <c r="E393" t="s">
        <v>136</v>
      </c>
      <c r="F393" t="s">
        <v>13</v>
      </c>
      <c r="G393">
        <v>14.2</v>
      </c>
      <c r="H393" t="s">
        <v>115</v>
      </c>
      <c r="I393" t="s">
        <v>20</v>
      </c>
      <c r="J393" t="s">
        <v>494</v>
      </c>
      <c r="K393">
        <f>IF(tblPlacement[Placement_Status]="Placed",1,0)</f>
        <v>1</v>
      </c>
      <c r="L393" t="str">
        <f>IF(tblPlacement[CGPA]&gt;=9,"9+", IF(tblPlacement[CGPA]&gt;=8,"8-9",IF(tblPlacement[CGPA]&gt;=7,"7-8","Below 7")))</f>
        <v>Below 7</v>
      </c>
      <c r="M393" t="str">
        <f>IF(tblPlacement[Package_LPA]&gt;=15,"High",IF(tblPlacement[Package_LPA]&gt;=8,"Medium","Low"))</f>
        <v>Medium</v>
      </c>
      <c r="N393">
        <f>IF(tblPlacement[Internship]="Yes",1,0)</f>
        <v>0</v>
      </c>
    </row>
    <row r="394" spans="1:14" x14ac:dyDescent="0.3">
      <c r="A394" t="s">
        <v>495</v>
      </c>
      <c r="B394" t="s">
        <v>26</v>
      </c>
      <c r="C394">
        <v>5.6</v>
      </c>
      <c r="D394" t="s">
        <v>22</v>
      </c>
      <c r="E394" t="s">
        <v>27</v>
      </c>
      <c r="F394" t="s">
        <v>13</v>
      </c>
      <c r="G394">
        <v>10.9</v>
      </c>
      <c r="H394" t="s">
        <v>496</v>
      </c>
      <c r="I394" t="s">
        <v>26</v>
      </c>
      <c r="J394" t="s">
        <v>495</v>
      </c>
      <c r="K394">
        <f>IF(tblPlacement[Placement_Status]="Placed",1,0)</f>
        <v>1</v>
      </c>
      <c r="L394" t="str">
        <f>IF(tblPlacement[CGPA]&gt;=9,"9+", IF(tblPlacement[CGPA]&gt;=8,"8-9",IF(tblPlacement[CGPA]&gt;=7,"7-8","Below 7")))</f>
        <v>Below 7</v>
      </c>
      <c r="M394" t="str">
        <f>IF(tblPlacement[Package_LPA]&gt;=15,"High",IF(tblPlacement[Package_LPA]&gt;=8,"Medium","Low"))</f>
        <v>Medium</v>
      </c>
      <c r="N394">
        <f>IF(tblPlacement[Internship]="Yes",1,0)</f>
        <v>0</v>
      </c>
    </row>
    <row r="395" spans="1:14" x14ac:dyDescent="0.3">
      <c r="A395" t="s">
        <v>497</v>
      </c>
      <c r="B395" t="s">
        <v>17</v>
      </c>
      <c r="C395">
        <v>9.1</v>
      </c>
      <c r="D395" t="s">
        <v>22</v>
      </c>
      <c r="E395" t="s">
        <v>46</v>
      </c>
      <c r="F395" t="s">
        <v>13</v>
      </c>
      <c r="G395">
        <v>6.4</v>
      </c>
      <c r="H395" t="s">
        <v>51</v>
      </c>
      <c r="I395" t="s">
        <v>20</v>
      </c>
      <c r="J395" t="s">
        <v>497</v>
      </c>
      <c r="K395">
        <f>IF(tblPlacement[Placement_Status]="Placed",1,0)</f>
        <v>1</v>
      </c>
      <c r="L395" t="str">
        <f>IF(tblPlacement[CGPA]&gt;=9,"9+", IF(tblPlacement[CGPA]&gt;=8,"8-9",IF(tblPlacement[CGPA]&gt;=7,"7-8","Below 7")))</f>
        <v>9+</v>
      </c>
      <c r="M395" t="str">
        <f>IF(tblPlacement[Package_LPA]&gt;=15,"High",IF(tblPlacement[Package_LPA]&gt;=8,"Medium","Low"))</f>
        <v>Low</v>
      </c>
      <c r="N395">
        <f>IF(tblPlacement[Internship]="Yes",1,0)</f>
        <v>0</v>
      </c>
    </row>
    <row r="396" spans="1:14" x14ac:dyDescent="0.3">
      <c r="A396" t="s">
        <v>498</v>
      </c>
      <c r="B396" t="s">
        <v>30</v>
      </c>
      <c r="C396">
        <v>9</v>
      </c>
      <c r="D396" t="s">
        <v>11</v>
      </c>
      <c r="E396" t="s">
        <v>285</v>
      </c>
      <c r="F396" t="s">
        <v>13</v>
      </c>
      <c r="G396">
        <v>18.7</v>
      </c>
      <c r="H396" t="s">
        <v>89</v>
      </c>
      <c r="I396" t="s">
        <v>37</v>
      </c>
      <c r="J396" t="s">
        <v>498</v>
      </c>
      <c r="K396">
        <f>IF(tblPlacement[Placement_Status]="Placed",1,0)</f>
        <v>1</v>
      </c>
      <c r="L396" t="str">
        <f>IF(tblPlacement[CGPA]&gt;=9,"9+", IF(tblPlacement[CGPA]&gt;=8,"8-9",IF(tblPlacement[CGPA]&gt;=7,"7-8","Below 7")))</f>
        <v>9+</v>
      </c>
      <c r="M396" t="str">
        <f>IF(tblPlacement[Package_LPA]&gt;=15,"High",IF(tblPlacement[Package_LPA]&gt;=8,"Medium","Low"))</f>
        <v>High</v>
      </c>
      <c r="N396">
        <f>IF(tblPlacement[Internship]="Yes",1,0)</f>
        <v>1</v>
      </c>
    </row>
    <row r="397" spans="1:14" x14ac:dyDescent="0.3">
      <c r="A397" t="s">
        <v>499</v>
      </c>
      <c r="B397" t="s">
        <v>20</v>
      </c>
      <c r="C397">
        <v>5.9</v>
      </c>
      <c r="D397" t="s">
        <v>22</v>
      </c>
      <c r="E397" t="s">
        <v>86</v>
      </c>
      <c r="F397" t="s">
        <v>32</v>
      </c>
      <c r="G397">
        <v>0</v>
      </c>
      <c r="H397" t="s">
        <v>33</v>
      </c>
      <c r="I397" t="s">
        <v>33</v>
      </c>
      <c r="J397" t="s">
        <v>499</v>
      </c>
      <c r="K397">
        <f>IF(tblPlacement[Placement_Status]="Placed",1,0)</f>
        <v>0</v>
      </c>
      <c r="L397" t="str">
        <f>IF(tblPlacement[CGPA]&gt;=9,"9+", IF(tblPlacement[CGPA]&gt;=8,"8-9",IF(tblPlacement[CGPA]&gt;=7,"7-8","Below 7")))</f>
        <v>Below 7</v>
      </c>
      <c r="M397" t="str">
        <f>IF(tblPlacement[Package_LPA]&gt;=15,"High",IF(tblPlacement[Package_LPA]&gt;=8,"Medium","Low"))</f>
        <v>Low</v>
      </c>
      <c r="N397">
        <f>IF(tblPlacement[Internship]="Yes",1,0)</f>
        <v>0</v>
      </c>
    </row>
    <row r="398" spans="1:14" x14ac:dyDescent="0.3">
      <c r="A398" t="s">
        <v>500</v>
      </c>
      <c r="B398" t="s">
        <v>30</v>
      </c>
      <c r="C398">
        <v>9.3000000000000007</v>
      </c>
      <c r="D398" t="s">
        <v>11</v>
      </c>
      <c r="E398" t="s">
        <v>35</v>
      </c>
      <c r="F398" t="s">
        <v>13</v>
      </c>
      <c r="G398">
        <v>16</v>
      </c>
      <c r="H398" t="s">
        <v>89</v>
      </c>
      <c r="I398" t="s">
        <v>37</v>
      </c>
      <c r="J398" t="s">
        <v>500</v>
      </c>
      <c r="K398">
        <f>IF(tblPlacement[Placement_Status]="Placed",1,0)</f>
        <v>1</v>
      </c>
      <c r="L398" t="str">
        <f>IF(tblPlacement[CGPA]&gt;=9,"9+", IF(tblPlacement[CGPA]&gt;=8,"8-9",IF(tblPlacement[CGPA]&gt;=7,"7-8","Below 7")))</f>
        <v>9+</v>
      </c>
      <c r="M398" t="str">
        <f>IF(tblPlacement[Package_LPA]&gt;=15,"High",IF(tblPlacement[Package_LPA]&gt;=8,"Medium","Low"))</f>
        <v>High</v>
      </c>
      <c r="N398">
        <f>IF(tblPlacement[Internship]="Yes",1,0)</f>
        <v>1</v>
      </c>
    </row>
    <row r="399" spans="1:14" x14ac:dyDescent="0.3">
      <c r="A399" t="s">
        <v>501</v>
      </c>
      <c r="B399" t="s">
        <v>43</v>
      </c>
      <c r="C399">
        <v>9.8000000000000007</v>
      </c>
      <c r="D399" t="s">
        <v>22</v>
      </c>
      <c r="E399" t="s">
        <v>39</v>
      </c>
      <c r="F399" t="s">
        <v>13</v>
      </c>
      <c r="G399">
        <v>8.8000000000000007</v>
      </c>
      <c r="H399" t="s">
        <v>264</v>
      </c>
      <c r="I399" t="s">
        <v>43</v>
      </c>
      <c r="J399" t="s">
        <v>501</v>
      </c>
      <c r="K399">
        <f>IF(tblPlacement[Placement_Status]="Placed",1,0)</f>
        <v>1</v>
      </c>
      <c r="L399" t="str">
        <f>IF(tblPlacement[CGPA]&gt;=9,"9+", IF(tblPlacement[CGPA]&gt;=8,"8-9",IF(tblPlacement[CGPA]&gt;=7,"7-8","Below 7")))</f>
        <v>9+</v>
      </c>
      <c r="M399" t="str">
        <f>IF(tblPlacement[Package_LPA]&gt;=15,"High",IF(tblPlacement[Package_LPA]&gt;=8,"Medium","Low"))</f>
        <v>Medium</v>
      </c>
      <c r="N399">
        <f>IF(tblPlacement[Internship]="Yes",1,0)</f>
        <v>0</v>
      </c>
    </row>
    <row r="400" spans="1:14" x14ac:dyDescent="0.3">
      <c r="A400" t="s">
        <v>502</v>
      </c>
      <c r="B400" t="s">
        <v>17</v>
      </c>
      <c r="C400">
        <v>6.7</v>
      </c>
      <c r="D400" t="s">
        <v>11</v>
      </c>
      <c r="E400" t="s">
        <v>80</v>
      </c>
      <c r="F400" t="s">
        <v>13</v>
      </c>
      <c r="G400">
        <v>9.6999999999999993</v>
      </c>
      <c r="H400" t="s">
        <v>53</v>
      </c>
      <c r="I400" t="s">
        <v>20</v>
      </c>
      <c r="J400" t="s">
        <v>502</v>
      </c>
      <c r="K400">
        <f>IF(tblPlacement[Placement_Status]="Placed",1,0)</f>
        <v>1</v>
      </c>
      <c r="L400" t="str">
        <f>IF(tblPlacement[CGPA]&gt;=9,"9+", IF(tblPlacement[CGPA]&gt;=8,"8-9",IF(tblPlacement[CGPA]&gt;=7,"7-8","Below 7")))</f>
        <v>Below 7</v>
      </c>
      <c r="M400" t="str">
        <f>IF(tblPlacement[Package_LPA]&gt;=15,"High",IF(tblPlacement[Package_LPA]&gt;=8,"Medium","Low"))</f>
        <v>Medium</v>
      </c>
      <c r="N400">
        <f>IF(tblPlacement[Internship]="Yes",1,0)</f>
        <v>1</v>
      </c>
    </row>
    <row r="401" spans="1:14" x14ac:dyDescent="0.3">
      <c r="A401" t="s">
        <v>503</v>
      </c>
      <c r="B401" t="s">
        <v>30</v>
      </c>
      <c r="C401">
        <v>6.3</v>
      </c>
      <c r="D401" t="s">
        <v>11</v>
      </c>
      <c r="E401" t="s">
        <v>18</v>
      </c>
      <c r="F401" t="s">
        <v>32</v>
      </c>
      <c r="G401">
        <v>0</v>
      </c>
      <c r="H401" t="s">
        <v>33</v>
      </c>
      <c r="I401" t="s">
        <v>33</v>
      </c>
      <c r="J401" t="s">
        <v>503</v>
      </c>
      <c r="K401">
        <f>IF(tblPlacement[Placement_Status]="Placed",1,0)</f>
        <v>0</v>
      </c>
      <c r="L401" t="str">
        <f>IF(tblPlacement[CGPA]&gt;=9,"9+", IF(tblPlacement[CGPA]&gt;=8,"8-9",IF(tblPlacement[CGPA]&gt;=7,"7-8","Below 7")))</f>
        <v>Below 7</v>
      </c>
      <c r="M401" t="str">
        <f>IF(tblPlacement[Package_LPA]&gt;=15,"High",IF(tblPlacement[Package_LPA]&gt;=8,"Medium","Low"))</f>
        <v>Low</v>
      </c>
      <c r="N401">
        <f>IF(tblPlacement[Internship]="Yes",1,0)</f>
        <v>1</v>
      </c>
    </row>
    <row r="402" spans="1:14" x14ac:dyDescent="0.3">
      <c r="A402" t="s">
        <v>504</v>
      </c>
      <c r="B402" t="s">
        <v>17</v>
      </c>
      <c r="C402">
        <v>9</v>
      </c>
      <c r="D402" t="s">
        <v>22</v>
      </c>
      <c r="E402" t="s">
        <v>18</v>
      </c>
      <c r="F402" t="s">
        <v>32</v>
      </c>
      <c r="G402">
        <v>0</v>
      </c>
      <c r="H402" t="s">
        <v>33</v>
      </c>
      <c r="I402" t="s">
        <v>33</v>
      </c>
      <c r="J402" t="s">
        <v>504</v>
      </c>
      <c r="K402">
        <f>IF(tblPlacement[Placement_Status]="Placed",1,0)</f>
        <v>0</v>
      </c>
      <c r="L402" t="str">
        <f>IF(tblPlacement[CGPA]&gt;=9,"9+", IF(tblPlacement[CGPA]&gt;=8,"8-9",IF(tblPlacement[CGPA]&gt;=7,"7-8","Below 7")))</f>
        <v>9+</v>
      </c>
      <c r="M402" t="str">
        <f>IF(tblPlacement[Package_LPA]&gt;=15,"High",IF(tblPlacement[Package_LPA]&gt;=8,"Medium","Low"))</f>
        <v>Low</v>
      </c>
      <c r="N402">
        <f>IF(tblPlacement[Internship]="Yes",1,0)</f>
        <v>0</v>
      </c>
    </row>
    <row r="403" spans="1:14" x14ac:dyDescent="0.3">
      <c r="A403" t="s">
        <v>505</v>
      </c>
      <c r="B403" t="s">
        <v>26</v>
      </c>
      <c r="C403">
        <v>7.8</v>
      </c>
      <c r="D403" t="s">
        <v>22</v>
      </c>
      <c r="E403" t="s">
        <v>138</v>
      </c>
      <c r="F403" t="s">
        <v>13</v>
      </c>
      <c r="G403">
        <v>10.7</v>
      </c>
      <c r="H403" t="s">
        <v>91</v>
      </c>
      <c r="I403" t="s">
        <v>26</v>
      </c>
      <c r="J403" t="s">
        <v>505</v>
      </c>
      <c r="K403">
        <f>IF(tblPlacement[Placement_Status]="Placed",1,0)</f>
        <v>1</v>
      </c>
      <c r="L403" t="str">
        <f>IF(tblPlacement[CGPA]&gt;=9,"9+", IF(tblPlacement[CGPA]&gt;=8,"8-9",IF(tblPlacement[CGPA]&gt;=7,"7-8","Below 7")))</f>
        <v>7-8</v>
      </c>
      <c r="M403" t="str">
        <f>IF(tblPlacement[Package_LPA]&gt;=15,"High",IF(tblPlacement[Package_LPA]&gt;=8,"Medium","Low"))</f>
        <v>Medium</v>
      </c>
      <c r="N403">
        <f>IF(tblPlacement[Internship]="Yes",1,0)</f>
        <v>0</v>
      </c>
    </row>
    <row r="404" spans="1:14" x14ac:dyDescent="0.3">
      <c r="A404" t="s">
        <v>506</v>
      </c>
      <c r="B404" t="s">
        <v>10</v>
      </c>
      <c r="C404">
        <v>9.4</v>
      </c>
      <c r="D404" t="s">
        <v>11</v>
      </c>
      <c r="E404" t="s">
        <v>18</v>
      </c>
      <c r="F404" t="s">
        <v>32</v>
      </c>
      <c r="G404">
        <v>0</v>
      </c>
      <c r="H404" t="s">
        <v>33</v>
      </c>
      <c r="I404" t="s">
        <v>33</v>
      </c>
      <c r="J404" t="s">
        <v>506</v>
      </c>
      <c r="K404">
        <f>IF(tblPlacement[Placement_Status]="Placed",1,0)</f>
        <v>0</v>
      </c>
      <c r="L404" t="str">
        <f>IF(tblPlacement[CGPA]&gt;=9,"9+", IF(tblPlacement[CGPA]&gt;=8,"8-9",IF(tblPlacement[CGPA]&gt;=7,"7-8","Below 7")))</f>
        <v>9+</v>
      </c>
      <c r="M404" t="str">
        <f>IF(tblPlacement[Package_LPA]&gt;=15,"High",IF(tblPlacement[Package_LPA]&gt;=8,"Medium","Low"))</f>
        <v>Low</v>
      </c>
      <c r="N404">
        <f>IF(tblPlacement[Internship]="Yes",1,0)</f>
        <v>1</v>
      </c>
    </row>
    <row r="405" spans="1:14" x14ac:dyDescent="0.3">
      <c r="A405" t="s">
        <v>507</v>
      </c>
      <c r="B405" t="s">
        <v>30</v>
      </c>
      <c r="C405">
        <v>7.8</v>
      </c>
      <c r="D405" t="s">
        <v>11</v>
      </c>
      <c r="E405" t="s">
        <v>335</v>
      </c>
      <c r="F405" t="s">
        <v>13</v>
      </c>
      <c r="G405">
        <v>5.2</v>
      </c>
      <c r="H405" t="s">
        <v>36</v>
      </c>
      <c r="I405" t="s">
        <v>37</v>
      </c>
      <c r="J405" t="s">
        <v>507</v>
      </c>
      <c r="K405">
        <f>IF(tblPlacement[Placement_Status]="Placed",1,0)</f>
        <v>1</v>
      </c>
      <c r="L405" t="str">
        <f>IF(tblPlacement[CGPA]&gt;=9,"9+", IF(tblPlacement[CGPA]&gt;=8,"8-9",IF(tblPlacement[CGPA]&gt;=7,"7-8","Below 7")))</f>
        <v>7-8</v>
      </c>
      <c r="M405" t="str">
        <f>IF(tblPlacement[Package_LPA]&gt;=15,"High",IF(tblPlacement[Package_LPA]&gt;=8,"Medium","Low"))</f>
        <v>Low</v>
      </c>
      <c r="N405">
        <f>IF(tblPlacement[Internship]="Yes",1,0)</f>
        <v>1</v>
      </c>
    </row>
    <row r="406" spans="1:14" x14ac:dyDescent="0.3">
      <c r="A406" t="s">
        <v>508</v>
      </c>
      <c r="B406" t="s">
        <v>30</v>
      </c>
      <c r="C406">
        <v>5.3</v>
      </c>
      <c r="D406" t="s">
        <v>11</v>
      </c>
      <c r="E406" t="s">
        <v>23</v>
      </c>
      <c r="F406" t="s">
        <v>32</v>
      </c>
      <c r="G406">
        <v>0</v>
      </c>
      <c r="H406" t="s">
        <v>33</v>
      </c>
      <c r="I406" t="s">
        <v>33</v>
      </c>
      <c r="J406" t="s">
        <v>508</v>
      </c>
      <c r="K406">
        <f>IF(tblPlacement[Placement_Status]="Placed",1,0)</f>
        <v>0</v>
      </c>
      <c r="L406" t="str">
        <f>IF(tblPlacement[CGPA]&gt;=9,"9+", IF(tblPlacement[CGPA]&gt;=8,"8-9",IF(tblPlacement[CGPA]&gt;=7,"7-8","Below 7")))</f>
        <v>Below 7</v>
      </c>
      <c r="M406" t="str">
        <f>IF(tblPlacement[Package_LPA]&gt;=15,"High",IF(tblPlacement[Package_LPA]&gt;=8,"Medium","Low"))</f>
        <v>Low</v>
      </c>
      <c r="N406">
        <f>IF(tblPlacement[Internship]="Yes",1,0)</f>
        <v>1</v>
      </c>
    </row>
    <row r="407" spans="1:14" x14ac:dyDescent="0.3">
      <c r="A407" t="s">
        <v>509</v>
      </c>
      <c r="B407" t="s">
        <v>17</v>
      </c>
      <c r="C407">
        <v>5.8</v>
      </c>
      <c r="D407" t="s">
        <v>22</v>
      </c>
      <c r="E407" t="s">
        <v>39</v>
      </c>
      <c r="F407" t="s">
        <v>13</v>
      </c>
      <c r="G407">
        <v>15.6</v>
      </c>
      <c r="H407" t="s">
        <v>67</v>
      </c>
      <c r="I407" t="s">
        <v>20</v>
      </c>
      <c r="J407" t="s">
        <v>509</v>
      </c>
      <c r="K407">
        <f>IF(tblPlacement[Placement_Status]="Placed",1,0)</f>
        <v>1</v>
      </c>
      <c r="L407" t="str">
        <f>IF(tblPlacement[CGPA]&gt;=9,"9+", IF(tblPlacement[CGPA]&gt;=8,"8-9",IF(tblPlacement[CGPA]&gt;=7,"7-8","Below 7")))</f>
        <v>Below 7</v>
      </c>
      <c r="M407" t="str">
        <f>IF(tblPlacement[Package_LPA]&gt;=15,"High",IF(tblPlacement[Package_LPA]&gt;=8,"Medium","Low"))</f>
        <v>High</v>
      </c>
      <c r="N407">
        <f>IF(tblPlacement[Internship]="Yes",1,0)</f>
        <v>0</v>
      </c>
    </row>
    <row r="408" spans="1:14" x14ac:dyDescent="0.3">
      <c r="A408" t="s">
        <v>510</v>
      </c>
      <c r="B408" t="s">
        <v>43</v>
      </c>
      <c r="C408">
        <v>9.1999999999999993</v>
      </c>
      <c r="D408" t="s">
        <v>22</v>
      </c>
      <c r="E408" t="s">
        <v>39</v>
      </c>
      <c r="F408" t="s">
        <v>32</v>
      </c>
      <c r="G408">
        <v>0</v>
      </c>
      <c r="H408" t="s">
        <v>33</v>
      </c>
      <c r="I408" t="s">
        <v>33</v>
      </c>
      <c r="J408" t="s">
        <v>510</v>
      </c>
      <c r="K408">
        <f>IF(tblPlacement[Placement_Status]="Placed",1,0)</f>
        <v>0</v>
      </c>
      <c r="L408" t="str">
        <f>IF(tblPlacement[CGPA]&gt;=9,"9+", IF(tblPlacement[CGPA]&gt;=8,"8-9",IF(tblPlacement[CGPA]&gt;=7,"7-8","Below 7")))</f>
        <v>9+</v>
      </c>
      <c r="M408" t="str">
        <f>IF(tblPlacement[Package_LPA]&gt;=15,"High",IF(tblPlacement[Package_LPA]&gt;=8,"Medium","Low"))</f>
        <v>Low</v>
      </c>
      <c r="N408">
        <f>IF(tblPlacement[Internship]="Yes",1,0)</f>
        <v>0</v>
      </c>
    </row>
    <row r="409" spans="1:14" x14ac:dyDescent="0.3">
      <c r="A409" t="s">
        <v>511</v>
      </c>
      <c r="B409" t="s">
        <v>10</v>
      </c>
      <c r="C409">
        <v>7.9</v>
      </c>
      <c r="D409" t="s">
        <v>11</v>
      </c>
      <c r="E409" t="s">
        <v>18</v>
      </c>
      <c r="F409" t="s">
        <v>13</v>
      </c>
      <c r="G409">
        <v>14.6</v>
      </c>
      <c r="H409" t="s">
        <v>352</v>
      </c>
      <c r="I409" t="s">
        <v>15</v>
      </c>
      <c r="J409" t="s">
        <v>511</v>
      </c>
      <c r="K409">
        <f>IF(tblPlacement[Placement_Status]="Placed",1,0)</f>
        <v>1</v>
      </c>
      <c r="L409" t="str">
        <f>IF(tblPlacement[CGPA]&gt;=9,"9+", IF(tblPlacement[CGPA]&gt;=8,"8-9",IF(tblPlacement[CGPA]&gt;=7,"7-8","Below 7")))</f>
        <v>7-8</v>
      </c>
      <c r="M409" t="str">
        <f>IF(tblPlacement[Package_LPA]&gt;=15,"High",IF(tblPlacement[Package_LPA]&gt;=8,"Medium","Low"))</f>
        <v>Medium</v>
      </c>
      <c r="N409">
        <f>IF(tblPlacement[Internship]="Yes",1,0)</f>
        <v>1</v>
      </c>
    </row>
    <row r="410" spans="1:14" x14ac:dyDescent="0.3">
      <c r="A410" t="s">
        <v>512</v>
      </c>
      <c r="B410" t="s">
        <v>131</v>
      </c>
      <c r="C410">
        <v>8.1999999999999993</v>
      </c>
      <c r="D410" t="s">
        <v>11</v>
      </c>
      <c r="E410" t="s">
        <v>513</v>
      </c>
      <c r="F410" t="s">
        <v>13</v>
      </c>
      <c r="G410">
        <v>9</v>
      </c>
      <c r="H410" t="s">
        <v>47</v>
      </c>
      <c r="I410" t="s">
        <v>20</v>
      </c>
      <c r="J410" t="s">
        <v>512</v>
      </c>
      <c r="K410">
        <f>IF(tblPlacement[Placement_Status]="Placed",1,0)</f>
        <v>1</v>
      </c>
      <c r="L410" t="str">
        <f>IF(tblPlacement[CGPA]&gt;=9,"9+", IF(tblPlacement[CGPA]&gt;=8,"8-9",IF(tblPlacement[CGPA]&gt;=7,"7-8","Below 7")))</f>
        <v>8-9</v>
      </c>
      <c r="M410" t="str">
        <f>IF(tblPlacement[Package_LPA]&gt;=15,"High",IF(tblPlacement[Package_LPA]&gt;=8,"Medium","Low"))</f>
        <v>Medium</v>
      </c>
      <c r="N410">
        <f>IF(tblPlacement[Internship]="Yes",1,0)</f>
        <v>1</v>
      </c>
    </row>
    <row r="411" spans="1:14" x14ac:dyDescent="0.3">
      <c r="A411" t="s">
        <v>514</v>
      </c>
      <c r="B411" t="s">
        <v>10</v>
      </c>
      <c r="C411">
        <v>5.8</v>
      </c>
      <c r="D411" t="s">
        <v>22</v>
      </c>
      <c r="E411" t="s">
        <v>39</v>
      </c>
      <c r="F411" t="s">
        <v>32</v>
      </c>
      <c r="G411">
        <v>0</v>
      </c>
      <c r="H411" t="s">
        <v>33</v>
      </c>
      <c r="I411" t="s">
        <v>33</v>
      </c>
      <c r="J411" t="s">
        <v>514</v>
      </c>
      <c r="K411">
        <f>IF(tblPlacement[Placement_Status]="Placed",1,0)</f>
        <v>0</v>
      </c>
      <c r="L411" t="str">
        <f>IF(tblPlacement[CGPA]&gt;=9,"9+", IF(tblPlacement[CGPA]&gt;=8,"8-9",IF(tblPlacement[CGPA]&gt;=7,"7-8","Below 7")))</f>
        <v>Below 7</v>
      </c>
      <c r="M411" t="str">
        <f>IF(tblPlacement[Package_LPA]&gt;=15,"High",IF(tblPlacement[Package_LPA]&gt;=8,"Medium","Low"))</f>
        <v>Low</v>
      </c>
      <c r="N411">
        <f>IF(tblPlacement[Internship]="Yes",1,0)</f>
        <v>0</v>
      </c>
    </row>
    <row r="412" spans="1:14" x14ac:dyDescent="0.3">
      <c r="A412" t="s">
        <v>515</v>
      </c>
      <c r="B412" t="s">
        <v>43</v>
      </c>
      <c r="C412">
        <v>7.8</v>
      </c>
      <c r="D412" t="s">
        <v>11</v>
      </c>
      <c r="E412" t="s">
        <v>39</v>
      </c>
      <c r="F412" t="s">
        <v>32</v>
      </c>
      <c r="G412">
        <v>0</v>
      </c>
      <c r="H412" t="s">
        <v>33</v>
      </c>
      <c r="I412" t="s">
        <v>33</v>
      </c>
      <c r="J412" t="s">
        <v>515</v>
      </c>
      <c r="K412">
        <f>IF(tblPlacement[Placement_Status]="Placed",1,0)</f>
        <v>0</v>
      </c>
      <c r="L412" t="str">
        <f>IF(tblPlacement[CGPA]&gt;=9,"9+", IF(tblPlacement[CGPA]&gt;=8,"8-9",IF(tblPlacement[CGPA]&gt;=7,"7-8","Below 7")))</f>
        <v>7-8</v>
      </c>
      <c r="M412" t="str">
        <f>IF(tblPlacement[Package_LPA]&gt;=15,"High",IF(tblPlacement[Package_LPA]&gt;=8,"Medium","Low"))</f>
        <v>Low</v>
      </c>
      <c r="N412">
        <f>IF(tblPlacement[Internship]="Yes",1,0)</f>
        <v>1</v>
      </c>
    </row>
    <row r="413" spans="1:14" x14ac:dyDescent="0.3">
      <c r="A413" t="s">
        <v>516</v>
      </c>
      <c r="B413" t="s">
        <v>131</v>
      </c>
      <c r="C413">
        <v>6.2</v>
      </c>
      <c r="D413" t="s">
        <v>11</v>
      </c>
      <c r="E413" t="s">
        <v>132</v>
      </c>
      <c r="F413" t="s">
        <v>13</v>
      </c>
      <c r="G413">
        <v>20.5</v>
      </c>
      <c r="H413" t="s">
        <v>115</v>
      </c>
      <c r="I413" t="s">
        <v>309</v>
      </c>
      <c r="J413" t="s">
        <v>516</v>
      </c>
      <c r="K413">
        <f>IF(tblPlacement[Placement_Status]="Placed",1,0)</f>
        <v>1</v>
      </c>
      <c r="L413" t="str">
        <f>IF(tblPlacement[CGPA]&gt;=9,"9+", IF(tblPlacement[CGPA]&gt;=8,"8-9",IF(tblPlacement[CGPA]&gt;=7,"7-8","Below 7")))</f>
        <v>Below 7</v>
      </c>
      <c r="M413" t="str">
        <f>IF(tblPlacement[Package_LPA]&gt;=15,"High",IF(tblPlacement[Package_LPA]&gt;=8,"Medium","Low"))</f>
        <v>High</v>
      </c>
      <c r="N413">
        <f>IF(tblPlacement[Internship]="Yes",1,0)</f>
        <v>1</v>
      </c>
    </row>
    <row r="414" spans="1:14" x14ac:dyDescent="0.3">
      <c r="A414" t="s">
        <v>517</v>
      </c>
      <c r="B414" t="s">
        <v>17</v>
      </c>
      <c r="C414">
        <v>9.3000000000000007</v>
      </c>
      <c r="D414" t="s">
        <v>11</v>
      </c>
      <c r="E414" t="s">
        <v>39</v>
      </c>
      <c r="F414" t="s">
        <v>13</v>
      </c>
      <c r="G414">
        <v>9.6999999999999993</v>
      </c>
      <c r="H414" t="s">
        <v>19</v>
      </c>
      <c r="I414" t="s">
        <v>20</v>
      </c>
      <c r="J414" t="s">
        <v>517</v>
      </c>
      <c r="K414">
        <f>IF(tblPlacement[Placement_Status]="Placed",1,0)</f>
        <v>1</v>
      </c>
      <c r="L414" t="str">
        <f>IF(tblPlacement[CGPA]&gt;=9,"9+", IF(tblPlacement[CGPA]&gt;=8,"8-9",IF(tblPlacement[CGPA]&gt;=7,"7-8","Below 7")))</f>
        <v>9+</v>
      </c>
      <c r="M414" t="str">
        <f>IF(tblPlacement[Package_LPA]&gt;=15,"High",IF(tblPlacement[Package_LPA]&gt;=8,"Medium","Low"))</f>
        <v>Medium</v>
      </c>
      <c r="N414">
        <f>IF(tblPlacement[Internship]="Yes",1,0)</f>
        <v>1</v>
      </c>
    </row>
    <row r="415" spans="1:14" x14ac:dyDescent="0.3">
      <c r="A415" t="s">
        <v>518</v>
      </c>
      <c r="B415" t="s">
        <v>17</v>
      </c>
      <c r="C415">
        <v>5.7</v>
      </c>
      <c r="D415" t="s">
        <v>11</v>
      </c>
      <c r="E415" t="s">
        <v>86</v>
      </c>
      <c r="F415" t="s">
        <v>13</v>
      </c>
      <c r="G415">
        <v>18</v>
      </c>
      <c r="H415" t="s">
        <v>67</v>
      </c>
      <c r="I415" t="s">
        <v>20</v>
      </c>
      <c r="J415" t="s">
        <v>518</v>
      </c>
      <c r="K415">
        <f>IF(tblPlacement[Placement_Status]="Placed",1,0)</f>
        <v>1</v>
      </c>
      <c r="L415" t="str">
        <f>IF(tblPlacement[CGPA]&gt;=9,"9+", IF(tblPlacement[CGPA]&gt;=8,"8-9",IF(tblPlacement[CGPA]&gt;=7,"7-8","Below 7")))</f>
        <v>Below 7</v>
      </c>
      <c r="M415" t="str">
        <f>IF(tblPlacement[Package_LPA]&gt;=15,"High",IF(tblPlacement[Package_LPA]&gt;=8,"Medium","Low"))</f>
        <v>High</v>
      </c>
      <c r="N415">
        <f>IF(tblPlacement[Internship]="Yes",1,0)</f>
        <v>1</v>
      </c>
    </row>
    <row r="416" spans="1:14" x14ac:dyDescent="0.3">
      <c r="A416" t="s">
        <v>519</v>
      </c>
      <c r="B416" t="s">
        <v>30</v>
      </c>
      <c r="C416">
        <v>6.9</v>
      </c>
      <c r="D416" t="s">
        <v>11</v>
      </c>
      <c r="E416" t="s">
        <v>35</v>
      </c>
      <c r="F416" t="s">
        <v>32</v>
      </c>
      <c r="G416">
        <v>0</v>
      </c>
      <c r="H416" t="s">
        <v>33</v>
      </c>
      <c r="I416" t="s">
        <v>33</v>
      </c>
      <c r="J416" t="s">
        <v>519</v>
      </c>
      <c r="K416">
        <f>IF(tblPlacement[Placement_Status]="Placed",1,0)</f>
        <v>0</v>
      </c>
      <c r="L416" t="str">
        <f>IF(tblPlacement[CGPA]&gt;=9,"9+", IF(tblPlacement[CGPA]&gt;=8,"8-9",IF(tblPlacement[CGPA]&gt;=7,"7-8","Below 7")))</f>
        <v>Below 7</v>
      </c>
      <c r="M416" t="str">
        <f>IF(tblPlacement[Package_LPA]&gt;=15,"High",IF(tblPlacement[Package_LPA]&gt;=8,"Medium","Low"))</f>
        <v>Low</v>
      </c>
      <c r="N416">
        <f>IF(tblPlacement[Internship]="Yes",1,0)</f>
        <v>1</v>
      </c>
    </row>
    <row r="417" spans="1:14" x14ac:dyDescent="0.3">
      <c r="A417" t="s">
        <v>520</v>
      </c>
      <c r="B417" t="s">
        <v>43</v>
      </c>
      <c r="C417">
        <v>7.9</v>
      </c>
      <c r="D417" t="s">
        <v>22</v>
      </c>
      <c r="E417" t="s">
        <v>69</v>
      </c>
      <c r="F417" t="s">
        <v>13</v>
      </c>
      <c r="G417">
        <v>8</v>
      </c>
      <c r="H417" t="s">
        <v>51</v>
      </c>
      <c r="I417" t="s">
        <v>20</v>
      </c>
      <c r="J417" t="s">
        <v>520</v>
      </c>
      <c r="K417">
        <f>IF(tblPlacement[Placement_Status]="Placed",1,0)</f>
        <v>1</v>
      </c>
      <c r="L417" t="str">
        <f>IF(tblPlacement[CGPA]&gt;=9,"9+", IF(tblPlacement[CGPA]&gt;=8,"8-9",IF(tblPlacement[CGPA]&gt;=7,"7-8","Below 7")))</f>
        <v>7-8</v>
      </c>
      <c r="M417" t="str">
        <f>IF(tblPlacement[Package_LPA]&gt;=15,"High",IF(tblPlacement[Package_LPA]&gt;=8,"Medium","Low"))</f>
        <v>Medium</v>
      </c>
      <c r="N417">
        <f>IF(tblPlacement[Internship]="Yes",1,0)</f>
        <v>0</v>
      </c>
    </row>
    <row r="418" spans="1:14" x14ac:dyDescent="0.3">
      <c r="A418" t="s">
        <v>521</v>
      </c>
      <c r="B418" t="s">
        <v>20</v>
      </c>
      <c r="C418">
        <v>9.6</v>
      </c>
      <c r="D418" t="s">
        <v>11</v>
      </c>
      <c r="E418" t="s">
        <v>39</v>
      </c>
      <c r="F418" t="s">
        <v>13</v>
      </c>
      <c r="G418">
        <v>16.2</v>
      </c>
      <c r="H418" t="s">
        <v>72</v>
      </c>
      <c r="I418" t="s">
        <v>20</v>
      </c>
      <c r="J418" t="s">
        <v>521</v>
      </c>
      <c r="K418">
        <f>IF(tblPlacement[Placement_Status]="Placed",1,0)</f>
        <v>1</v>
      </c>
      <c r="L418" t="str">
        <f>IF(tblPlacement[CGPA]&gt;=9,"9+", IF(tblPlacement[CGPA]&gt;=8,"8-9",IF(tblPlacement[CGPA]&gt;=7,"7-8","Below 7")))</f>
        <v>9+</v>
      </c>
      <c r="M418" t="str">
        <f>IF(tblPlacement[Package_LPA]&gt;=15,"High",IF(tblPlacement[Package_LPA]&gt;=8,"Medium","Low"))</f>
        <v>High</v>
      </c>
      <c r="N418">
        <f>IF(tblPlacement[Internship]="Yes",1,0)</f>
        <v>1</v>
      </c>
    </row>
    <row r="419" spans="1:14" x14ac:dyDescent="0.3">
      <c r="A419" t="s">
        <v>522</v>
      </c>
      <c r="B419" t="s">
        <v>17</v>
      </c>
      <c r="C419">
        <v>7.9</v>
      </c>
      <c r="D419" t="s">
        <v>22</v>
      </c>
      <c r="E419" t="s">
        <v>76</v>
      </c>
      <c r="F419" t="s">
        <v>32</v>
      </c>
      <c r="G419">
        <v>0</v>
      </c>
      <c r="H419" t="s">
        <v>33</v>
      </c>
      <c r="I419" t="s">
        <v>33</v>
      </c>
      <c r="J419" t="s">
        <v>522</v>
      </c>
      <c r="K419">
        <f>IF(tblPlacement[Placement_Status]="Placed",1,0)</f>
        <v>0</v>
      </c>
      <c r="L419" t="str">
        <f>IF(tblPlacement[CGPA]&gt;=9,"9+", IF(tblPlacement[CGPA]&gt;=8,"8-9",IF(tblPlacement[CGPA]&gt;=7,"7-8","Below 7")))</f>
        <v>7-8</v>
      </c>
      <c r="M419" t="str">
        <f>IF(tblPlacement[Package_LPA]&gt;=15,"High",IF(tblPlacement[Package_LPA]&gt;=8,"Medium","Low"))</f>
        <v>Low</v>
      </c>
      <c r="N419">
        <f>IF(tblPlacement[Internship]="Yes",1,0)</f>
        <v>0</v>
      </c>
    </row>
    <row r="420" spans="1:14" x14ac:dyDescent="0.3">
      <c r="A420" t="s">
        <v>523</v>
      </c>
      <c r="B420" t="s">
        <v>20</v>
      </c>
      <c r="C420">
        <v>8.1999999999999993</v>
      </c>
      <c r="D420" t="s">
        <v>22</v>
      </c>
      <c r="E420" t="s">
        <v>200</v>
      </c>
      <c r="F420" t="s">
        <v>13</v>
      </c>
      <c r="G420">
        <v>6.7</v>
      </c>
      <c r="H420" t="s">
        <v>115</v>
      </c>
      <c r="I420" t="s">
        <v>20</v>
      </c>
      <c r="J420" t="s">
        <v>523</v>
      </c>
      <c r="K420">
        <f>IF(tblPlacement[Placement_Status]="Placed",1,0)</f>
        <v>1</v>
      </c>
      <c r="L420" t="str">
        <f>IF(tblPlacement[CGPA]&gt;=9,"9+", IF(tblPlacement[CGPA]&gt;=8,"8-9",IF(tblPlacement[CGPA]&gt;=7,"7-8","Below 7")))</f>
        <v>8-9</v>
      </c>
      <c r="M420" t="str">
        <f>IF(tblPlacement[Package_LPA]&gt;=15,"High",IF(tblPlacement[Package_LPA]&gt;=8,"Medium","Low"))</f>
        <v>Low</v>
      </c>
      <c r="N420">
        <f>IF(tblPlacement[Internship]="Yes",1,0)</f>
        <v>0</v>
      </c>
    </row>
    <row r="421" spans="1:14" x14ac:dyDescent="0.3">
      <c r="A421" t="s">
        <v>524</v>
      </c>
      <c r="B421" t="s">
        <v>17</v>
      </c>
      <c r="C421">
        <v>8.4</v>
      </c>
      <c r="D421" t="s">
        <v>22</v>
      </c>
      <c r="E421" t="s">
        <v>80</v>
      </c>
      <c r="F421" t="s">
        <v>32</v>
      </c>
      <c r="G421">
        <v>0</v>
      </c>
      <c r="H421" t="s">
        <v>33</v>
      </c>
      <c r="I421" t="s">
        <v>33</v>
      </c>
      <c r="J421" t="s">
        <v>524</v>
      </c>
      <c r="K421">
        <f>IF(tblPlacement[Placement_Status]="Placed",1,0)</f>
        <v>0</v>
      </c>
      <c r="L421" t="str">
        <f>IF(tblPlacement[CGPA]&gt;=9,"9+", IF(tblPlacement[CGPA]&gt;=8,"8-9",IF(tblPlacement[CGPA]&gt;=7,"7-8","Below 7")))</f>
        <v>8-9</v>
      </c>
      <c r="M421" t="str">
        <f>IF(tblPlacement[Package_LPA]&gt;=15,"High",IF(tblPlacement[Package_LPA]&gt;=8,"Medium","Low"))</f>
        <v>Low</v>
      </c>
      <c r="N421">
        <f>IF(tblPlacement[Internship]="Yes",1,0)</f>
        <v>0</v>
      </c>
    </row>
    <row r="422" spans="1:14" x14ac:dyDescent="0.3">
      <c r="A422" t="s">
        <v>525</v>
      </c>
      <c r="B422" t="s">
        <v>20</v>
      </c>
      <c r="C422">
        <v>5.6</v>
      </c>
      <c r="D422" t="s">
        <v>11</v>
      </c>
      <c r="E422" t="s">
        <v>71</v>
      </c>
      <c r="F422" t="s">
        <v>13</v>
      </c>
      <c r="G422">
        <v>10.199999999999999</v>
      </c>
      <c r="H422" t="s">
        <v>51</v>
      </c>
      <c r="I422" t="s">
        <v>20</v>
      </c>
      <c r="J422" t="s">
        <v>525</v>
      </c>
      <c r="K422">
        <f>IF(tblPlacement[Placement_Status]="Placed",1,0)</f>
        <v>1</v>
      </c>
      <c r="L422" t="str">
        <f>IF(tblPlacement[CGPA]&gt;=9,"9+", IF(tblPlacement[CGPA]&gt;=8,"8-9",IF(tblPlacement[CGPA]&gt;=7,"7-8","Below 7")))</f>
        <v>Below 7</v>
      </c>
      <c r="M422" t="str">
        <f>IF(tblPlacement[Package_LPA]&gt;=15,"High",IF(tblPlacement[Package_LPA]&gt;=8,"Medium","Low"))</f>
        <v>Medium</v>
      </c>
      <c r="N422">
        <f>IF(tblPlacement[Internship]="Yes",1,0)</f>
        <v>1</v>
      </c>
    </row>
    <row r="423" spans="1:14" x14ac:dyDescent="0.3">
      <c r="A423" t="s">
        <v>526</v>
      </c>
      <c r="B423" t="s">
        <v>20</v>
      </c>
      <c r="C423">
        <v>8.1999999999999993</v>
      </c>
      <c r="D423" t="s">
        <v>22</v>
      </c>
      <c r="E423" t="s">
        <v>86</v>
      </c>
      <c r="F423" t="s">
        <v>13</v>
      </c>
      <c r="G423">
        <v>13.9</v>
      </c>
      <c r="H423" t="s">
        <v>67</v>
      </c>
      <c r="I423" t="s">
        <v>20</v>
      </c>
      <c r="J423" t="s">
        <v>526</v>
      </c>
      <c r="K423">
        <f>IF(tblPlacement[Placement_Status]="Placed",1,0)</f>
        <v>1</v>
      </c>
      <c r="L423" t="str">
        <f>IF(tblPlacement[CGPA]&gt;=9,"9+", IF(tblPlacement[CGPA]&gt;=8,"8-9",IF(tblPlacement[CGPA]&gt;=7,"7-8","Below 7")))</f>
        <v>8-9</v>
      </c>
      <c r="M423" t="str">
        <f>IF(tblPlacement[Package_LPA]&gt;=15,"High",IF(tblPlacement[Package_LPA]&gt;=8,"Medium","Low"))</f>
        <v>Medium</v>
      </c>
      <c r="N423">
        <f>IF(tblPlacement[Internship]="Yes",1,0)</f>
        <v>0</v>
      </c>
    </row>
    <row r="424" spans="1:14" x14ac:dyDescent="0.3">
      <c r="A424" t="s">
        <v>527</v>
      </c>
      <c r="B424" t="s">
        <v>131</v>
      </c>
      <c r="C424">
        <v>7.4</v>
      </c>
      <c r="D424" t="s">
        <v>11</v>
      </c>
      <c r="E424" t="s">
        <v>23</v>
      </c>
      <c r="F424" t="s">
        <v>13</v>
      </c>
      <c r="G424">
        <v>8.1999999999999993</v>
      </c>
      <c r="H424" t="s">
        <v>51</v>
      </c>
      <c r="I424" t="s">
        <v>309</v>
      </c>
      <c r="J424" t="s">
        <v>527</v>
      </c>
      <c r="K424">
        <f>IF(tblPlacement[Placement_Status]="Placed",1,0)</f>
        <v>1</v>
      </c>
      <c r="L424" t="str">
        <f>IF(tblPlacement[CGPA]&gt;=9,"9+", IF(tblPlacement[CGPA]&gt;=8,"8-9",IF(tblPlacement[CGPA]&gt;=7,"7-8","Below 7")))</f>
        <v>7-8</v>
      </c>
      <c r="M424" t="str">
        <f>IF(tblPlacement[Package_LPA]&gt;=15,"High",IF(tblPlacement[Package_LPA]&gt;=8,"Medium","Low"))</f>
        <v>Medium</v>
      </c>
      <c r="N424">
        <f>IF(tblPlacement[Internship]="Yes",1,0)</f>
        <v>1</v>
      </c>
    </row>
    <row r="425" spans="1:14" x14ac:dyDescent="0.3">
      <c r="A425" t="s">
        <v>528</v>
      </c>
      <c r="B425" t="s">
        <v>26</v>
      </c>
      <c r="C425">
        <v>6.9</v>
      </c>
      <c r="D425" t="s">
        <v>11</v>
      </c>
      <c r="E425" t="s">
        <v>63</v>
      </c>
      <c r="F425" t="s">
        <v>13</v>
      </c>
      <c r="G425">
        <v>8.6999999999999993</v>
      </c>
      <c r="H425" t="s">
        <v>195</v>
      </c>
      <c r="I425" t="s">
        <v>26</v>
      </c>
      <c r="J425" t="s">
        <v>528</v>
      </c>
      <c r="K425">
        <f>IF(tblPlacement[Placement_Status]="Placed",1,0)</f>
        <v>1</v>
      </c>
      <c r="L425" t="str">
        <f>IF(tblPlacement[CGPA]&gt;=9,"9+", IF(tblPlacement[CGPA]&gt;=8,"8-9",IF(tblPlacement[CGPA]&gt;=7,"7-8","Below 7")))</f>
        <v>Below 7</v>
      </c>
      <c r="M425" t="str">
        <f>IF(tblPlacement[Package_LPA]&gt;=15,"High",IF(tblPlacement[Package_LPA]&gt;=8,"Medium","Low"))</f>
        <v>Medium</v>
      </c>
      <c r="N425">
        <f>IF(tblPlacement[Internship]="Yes",1,0)</f>
        <v>1</v>
      </c>
    </row>
    <row r="426" spans="1:14" x14ac:dyDescent="0.3">
      <c r="A426" t="s">
        <v>529</v>
      </c>
      <c r="B426" t="s">
        <v>17</v>
      </c>
      <c r="C426">
        <v>8.4</v>
      </c>
      <c r="D426" t="s">
        <v>11</v>
      </c>
      <c r="E426" t="s">
        <v>39</v>
      </c>
      <c r="F426" t="s">
        <v>32</v>
      </c>
      <c r="G426">
        <v>0</v>
      </c>
      <c r="H426" t="s">
        <v>33</v>
      </c>
      <c r="I426" t="s">
        <v>33</v>
      </c>
      <c r="J426" t="s">
        <v>529</v>
      </c>
      <c r="K426">
        <f>IF(tblPlacement[Placement_Status]="Placed",1,0)</f>
        <v>0</v>
      </c>
      <c r="L426" t="str">
        <f>IF(tblPlacement[CGPA]&gt;=9,"9+", IF(tblPlacement[CGPA]&gt;=8,"8-9",IF(tblPlacement[CGPA]&gt;=7,"7-8","Below 7")))</f>
        <v>8-9</v>
      </c>
      <c r="M426" t="str">
        <f>IF(tblPlacement[Package_LPA]&gt;=15,"High",IF(tblPlacement[Package_LPA]&gt;=8,"Medium","Low"))</f>
        <v>Low</v>
      </c>
      <c r="N426">
        <f>IF(tblPlacement[Internship]="Yes",1,0)</f>
        <v>1</v>
      </c>
    </row>
    <row r="427" spans="1:14" x14ac:dyDescent="0.3">
      <c r="A427" t="s">
        <v>530</v>
      </c>
      <c r="B427" t="s">
        <v>20</v>
      </c>
      <c r="C427">
        <v>8.6999999999999993</v>
      </c>
      <c r="D427" t="s">
        <v>11</v>
      </c>
      <c r="E427" t="s">
        <v>18</v>
      </c>
      <c r="F427" t="s">
        <v>13</v>
      </c>
      <c r="G427">
        <v>15.7</v>
      </c>
      <c r="H427" t="s">
        <v>53</v>
      </c>
      <c r="I427" t="s">
        <v>20</v>
      </c>
      <c r="J427" t="s">
        <v>530</v>
      </c>
      <c r="K427">
        <f>IF(tblPlacement[Placement_Status]="Placed",1,0)</f>
        <v>1</v>
      </c>
      <c r="L427" t="str">
        <f>IF(tblPlacement[CGPA]&gt;=9,"9+", IF(tblPlacement[CGPA]&gt;=8,"8-9",IF(tblPlacement[CGPA]&gt;=7,"7-8","Below 7")))</f>
        <v>8-9</v>
      </c>
      <c r="M427" t="str">
        <f>IF(tblPlacement[Package_LPA]&gt;=15,"High",IF(tblPlacement[Package_LPA]&gt;=8,"Medium","Low"))</f>
        <v>High</v>
      </c>
      <c r="N427">
        <f>IF(tblPlacement[Internship]="Yes",1,0)</f>
        <v>1</v>
      </c>
    </row>
    <row r="428" spans="1:14" x14ac:dyDescent="0.3">
      <c r="A428" t="s">
        <v>531</v>
      </c>
      <c r="B428" t="s">
        <v>26</v>
      </c>
      <c r="C428">
        <v>7.8</v>
      </c>
      <c r="D428" t="s">
        <v>11</v>
      </c>
      <c r="E428" t="s">
        <v>63</v>
      </c>
      <c r="F428" t="s">
        <v>13</v>
      </c>
      <c r="G428">
        <v>4.8</v>
      </c>
      <c r="H428" t="s">
        <v>344</v>
      </c>
      <c r="I428" t="s">
        <v>26</v>
      </c>
      <c r="J428" t="s">
        <v>531</v>
      </c>
      <c r="K428">
        <f>IF(tblPlacement[Placement_Status]="Placed",1,0)</f>
        <v>1</v>
      </c>
      <c r="L428" t="str">
        <f>IF(tblPlacement[CGPA]&gt;=9,"9+", IF(tblPlacement[CGPA]&gt;=8,"8-9",IF(tblPlacement[CGPA]&gt;=7,"7-8","Below 7")))</f>
        <v>7-8</v>
      </c>
      <c r="M428" t="str">
        <f>IF(tblPlacement[Package_LPA]&gt;=15,"High",IF(tblPlacement[Package_LPA]&gt;=8,"Medium","Low"))</f>
        <v>Low</v>
      </c>
      <c r="N428">
        <f>IF(tblPlacement[Internship]="Yes",1,0)</f>
        <v>1</v>
      </c>
    </row>
    <row r="429" spans="1:14" x14ac:dyDescent="0.3">
      <c r="A429" t="s">
        <v>532</v>
      </c>
      <c r="B429" t="s">
        <v>43</v>
      </c>
      <c r="C429">
        <v>6</v>
      </c>
      <c r="D429" t="s">
        <v>22</v>
      </c>
      <c r="E429" t="s">
        <v>69</v>
      </c>
      <c r="F429" t="s">
        <v>32</v>
      </c>
      <c r="G429">
        <v>0</v>
      </c>
      <c r="H429" t="s">
        <v>33</v>
      </c>
      <c r="I429" t="s">
        <v>33</v>
      </c>
      <c r="J429" t="s">
        <v>532</v>
      </c>
      <c r="K429">
        <f>IF(tblPlacement[Placement_Status]="Placed",1,0)</f>
        <v>0</v>
      </c>
      <c r="L429" t="str">
        <f>IF(tblPlacement[CGPA]&gt;=9,"9+", IF(tblPlacement[CGPA]&gt;=8,"8-9",IF(tblPlacement[CGPA]&gt;=7,"7-8","Below 7")))</f>
        <v>Below 7</v>
      </c>
      <c r="M429" t="str">
        <f>IF(tblPlacement[Package_LPA]&gt;=15,"High",IF(tblPlacement[Package_LPA]&gt;=8,"Medium","Low"))</f>
        <v>Low</v>
      </c>
      <c r="N429">
        <f>IF(tblPlacement[Internship]="Yes",1,0)</f>
        <v>0</v>
      </c>
    </row>
    <row r="430" spans="1:14" x14ac:dyDescent="0.3">
      <c r="A430" t="s">
        <v>533</v>
      </c>
      <c r="B430" t="s">
        <v>17</v>
      </c>
      <c r="C430">
        <v>7.1</v>
      </c>
      <c r="D430" t="s">
        <v>22</v>
      </c>
      <c r="E430" t="s">
        <v>86</v>
      </c>
      <c r="F430" t="s">
        <v>13</v>
      </c>
      <c r="G430">
        <v>8.6999999999999993</v>
      </c>
      <c r="H430" t="s">
        <v>24</v>
      </c>
      <c r="I430" t="s">
        <v>20</v>
      </c>
      <c r="J430" t="s">
        <v>533</v>
      </c>
      <c r="K430">
        <f>IF(tblPlacement[Placement_Status]="Placed",1,0)</f>
        <v>1</v>
      </c>
      <c r="L430" t="str">
        <f>IF(tblPlacement[CGPA]&gt;=9,"9+", IF(tblPlacement[CGPA]&gt;=8,"8-9",IF(tblPlacement[CGPA]&gt;=7,"7-8","Below 7")))</f>
        <v>7-8</v>
      </c>
      <c r="M430" t="str">
        <f>IF(tblPlacement[Package_LPA]&gt;=15,"High",IF(tblPlacement[Package_LPA]&gt;=8,"Medium","Low"))</f>
        <v>Medium</v>
      </c>
      <c r="N430">
        <f>IF(tblPlacement[Internship]="Yes",1,0)</f>
        <v>0</v>
      </c>
    </row>
    <row r="431" spans="1:14" x14ac:dyDescent="0.3">
      <c r="A431" t="s">
        <v>534</v>
      </c>
      <c r="B431" t="s">
        <v>10</v>
      </c>
      <c r="C431">
        <v>8.9</v>
      </c>
      <c r="D431" t="s">
        <v>11</v>
      </c>
      <c r="E431" t="s">
        <v>39</v>
      </c>
      <c r="F431" t="s">
        <v>13</v>
      </c>
      <c r="G431">
        <v>17.2</v>
      </c>
      <c r="H431" t="s">
        <v>104</v>
      </c>
      <c r="I431" t="s">
        <v>15</v>
      </c>
      <c r="J431" t="s">
        <v>534</v>
      </c>
      <c r="K431">
        <f>IF(tblPlacement[Placement_Status]="Placed",1,0)</f>
        <v>1</v>
      </c>
      <c r="L431" t="str">
        <f>IF(tblPlacement[CGPA]&gt;=9,"9+", IF(tblPlacement[CGPA]&gt;=8,"8-9",IF(tblPlacement[CGPA]&gt;=7,"7-8","Below 7")))</f>
        <v>8-9</v>
      </c>
      <c r="M431" t="str">
        <f>IF(tblPlacement[Package_LPA]&gt;=15,"High",IF(tblPlacement[Package_LPA]&gt;=8,"Medium","Low"))</f>
        <v>High</v>
      </c>
      <c r="N431">
        <f>IF(tblPlacement[Internship]="Yes",1,0)</f>
        <v>1</v>
      </c>
    </row>
    <row r="432" spans="1:14" x14ac:dyDescent="0.3">
      <c r="A432" t="s">
        <v>535</v>
      </c>
      <c r="B432" t="s">
        <v>30</v>
      </c>
      <c r="C432">
        <v>7.1</v>
      </c>
      <c r="D432" t="s">
        <v>11</v>
      </c>
      <c r="E432" t="s">
        <v>60</v>
      </c>
      <c r="F432" t="s">
        <v>13</v>
      </c>
      <c r="G432">
        <v>16.100000000000001</v>
      </c>
      <c r="H432" t="s">
        <v>72</v>
      </c>
      <c r="I432" t="s">
        <v>20</v>
      </c>
      <c r="J432" t="s">
        <v>535</v>
      </c>
      <c r="K432">
        <f>IF(tblPlacement[Placement_Status]="Placed",1,0)</f>
        <v>1</v>
      </c>
      <c r="L432" t="str">
        <f>IF(tblPlacement[CGPA]&gt;=9,"9+", IF(tblPlacement[CGPA]&gt;=8,"8-9",IF(tblPlacement[CGPA]&gt;=7,"7-8","Below 7")))</f>
        <v>7-8</v>
      </c>
      <c r="M432" t="str">
        <f>IF(tblPlacement[Package_LPA]&gt;=15,"High",IF(tblPlacement[Package_LPA]&gt;=8,"Medium","Low"))</f>
        <v>High</v>
      </c>
      <c r="N432">
        <f>IF(tblPlacement[Internship]="Yes",1,0)</f>
        <v>1</v>
      </c>
    </row>
    <row r="433" spans="1:14" x14ac:dyDescent="0.3">
      <c r="A433" t="s">
        <v>536</v>
      </c>
      <c r="B433" t="s">
        <v>43</v>
      </c>
      <c r="C433">
        <v>9.1999999999999993</v>
      </c>
      <c r="D433" t="s">
        <v>22</v>
      </c>
      <c r="E433" t="s">
        <v>58</v>
      </c>
      <c r="F433" t="s">
        <v>13</v>
      </c>
      <c r="G433">
        <v>4.3</v>
      </c>
      <c r="H433" t="s">
        <v>124</v>
      </c>
      <c r="I433" t="s">
        <v>43</v>
      </c>
      <c r="J433" t="s">
        <v>536</v>
      </c>
      <c r="K433">
        <f>IF(tblPlacement[Placement_Status]="Placed",1,0)</f>
        <v>1</v>
      </c>
      <c r="L433" t="str">
        <f>IF(tblPlacement[CGPA]&gt;=9,"9+", IF(tblPlacement[CGPA]&gt;=8,"8-9",IF(tblPlacement[CGPA]&gt;=7,"7-8","Below 7")))</f>
        <v>9+</v>
      </c>
      <c r="M433" t="str">
        <f>IF(tblPlacement[Package_LPA]&gt;=15,"High",IF(tblPlacement[Package_LPA]&gt;=8,"Medium","Low"))</f>
        <v>Low</v>
      </c>
      <c r="N433">
        <f>IF(tblPlacement[Internship]="Yes",1,0)</f>
        <v>0</v>
      </c>
    </row>
    <row r="434" spans="1:14" x14ac:dyDescent="0.3">
      <c r="A434" t="s">
        <v>537</v>
      </c>
      <c r="B434" t="s">
        <v>17</v>
      </c>
      <c r="C434">
        <v>5.9</v>
      </c>
      <c r="D434" t="s">
        <v>22</v>
      </c>
      <c r="E434" t="s">
        <v>86</v>
      </c>
      <c r="F434" t="s">
        <v>13</v>
      </c>
      <c r="G434">
        <v>4.5999999999999996</v>
      </c>
      <c r="H434" t="s">
        <v>19</v>
      </c>
      <c r="I434" t="s">
        <v>20</v>
      </c>
      <c r="J434" t="s">
        <v>537</v>
      </c>
      <c r="K434">
        <f>IF(tblPlacement[Placement_Status]="Placed",1,0)</f>
        <v>1</v>
      </c>
      <c r="L434" t="str">
        <f>IF(tblPlacement[CGPA]&gt;=9,"9+", IF(tblPlacement[CGPA]&gt;=8,"8-9",IF(tblPlacement[CGPA]&gt;=7,"7-8","Below 7")))</f>
        <v>Below 7</v>
      </c>
      <c r="M434" t="str">
        <f>IF(tblPlacement[Package_LPA]&gt;=15,"High",IF(tblPlacement[Package_LPA]&gt;=8,"Medium","Low"))</f>
        <v>Low</v>
      </c>
      <c r="N434">
        <f>IF(tblPlacement[Internship]="Yes",1,0)</f>
        <v>0</v>
      </c>
    </row>
    <row r="435" spans="1:14" x14ac:dyDescent="0.3">
      <c r="A435" t="s">
        <v>538</v>
      </c>
      <c r="B435" t="s">
        <v>30</v>
      </c>
      <c r="C435">
        <v>6.4</v>
      </c>
      <c r="D435" t="s">
        <v>11</v>
      </c>
      <c r="E435" t="s">
        <v>23</v>
      </c>
      <c r="F435" t="s">
        <v>32</v>
      </c>
      <c r="G435">
        <v>0</v>
      </c>
      <c r="H435" t="s">
        <v>33</v>
      </c>
      <c r="I435" t="s">
        <v>33</v>
      </c>
      <c r="J435" t="s">
        <v>538</v>
      </c>
      <c r="K435">
        <f>IF(tblPlacement[Placement_Status]="Placed",1,0)</f>
        <v>0</v>
      </c>
      <c r="L435" t="str">
        <f>IF(tblPlacement[CGPA]&gt;=9,"9+", IF(tblPlacement[CGPA]&gt;=8,"8-9",IF(tblPlacement[CGPA]&gt;=7,"7-8","Below 7")))</f>
        <v>Below 7</v>
      </c>
      <c r="M435" t="str">
        <f>IF(tblPlacement[Package_LPA]&gt;=15,"High",IF(tblPlacement[Package_LPA]&gt;=8,"Medium","Low"))</f>
        <v>Low</v>
      </c>
      <c r="N435">
        <f>IF(tblPlacement[Internship]="Yes",1,0)</f>
        <v>1</v>
      </c>
    </row>
    <row r="436" spans="1:14" x14ac:dyDescent="0.3">
      <c r="A436" t="s">
        <v>539</v>
      </c>
      <c r="B436" t="s">
        <v>20</v>
      </c>
      <c r="C436">
        <v>6.5</v>
      </c>
      <c r="D436" t="s">
        <v>11</v>
      </c>
      <c r="E436" t="s">
        <v>23</v>
      </c>
      <c r="F436" t="s">
        <v>32</v>
      </c>
      <c r="G436">
        <v>0</v>
      </c>
      <c r="H436" t="s">
        <v>33</v>
      </c>
      <c r="I436" t="s">
        <v>33</v>
      </c>
      <c r="J436" t="s">
        <v>539</v>
      </c>
      <c r="K436">
        <f>IF(tblPlacement[Placement_Status]="Placed",1,0)</f>
        <v>0</v>
      </c>
      <c r="L436" t="str">
        <f>IF(tblPlacement[CGPA]&gt;=9,"9+", IF(tblPlacement[CGPA]&gt;=8,"8-9",IF(tblPlacement[CGPA]&gt;=7,"7-8","Below 7")))</f>
        <v>Below 7</v>
      </c>
      <c r="M436" t="str">
        <f>IF(tblPlacement[Package_LPA]&gt;=15,"High",IF(tblPlacement[Package_LPA]&gt;=8,"Medium","Low"))</f>
        <v>Low</v>
      </c>
      <c r="N436">
        <f>IF(tblPlacement[Internship]="Yes",1,0)</f>
        <v>1</v>
      </c>
    </row>
    <row r="437" spans="1:14" x14ac:dyDescent="0.3">
      <c r="A437" t="s">
        <v>540</v>
      </c>
      <c r="B437" t="s">
        <v>17</v>
      </c>
      <c r="C437">
        <v>6.6</v>
      </c>
      <c r="D437" t="s">
        <v>22</v>
      </c>
      <c r="E437" t="s">
        <v>39</v>
      </c>
      <c r="F437" t="s">
        <v>13</v>
      </c>
      <c r="G437">
        <v>6.7</v>
      </c>
      <c r="H437" t="s">
        <v>72</v>
      </c>
      <c r="I437" t="s">
        <v>20</v>
      </c>
      <c r="J437" t="s">
        <v>540</v>
      </c>
      <c r="K437">
        <f>IF(tblPlacement[Placement_Status]="Placed",1,0)</f>
        <v>1</v>
      </c>
      <c r="L437" t="str">
        <f>IF(tblPlacement[CGPA]&gt;=9,"9+", IF(tblPlacement[CGPA]&gt;=8,"8-9",IF(tblPlacement[CGPA]&gt;=7,"7-8","Below 7")))</f>
        <v>Below 7</v>
      </c>
      <c r="M437" t="str">
        <f>IF(tblPlacement[Package_LPA]&gt;=15,"High",IF(tblPlacement[Package_LPA]&gt;=8,"Medium","Low"))</f>
        <v>Low</v>
      </c>
      <c r="N437">
        <f>IF(tblPlacement[Internship]="Yes",1,0)</f>
        <v>0</v>
      </c>
    </row>
    <row r="438" spans="1:14" x14ac:dyDescent="0.3">
      <c r="A438" t="s">
        <v>541</v>
      </c>
      <c r="B438" t="s">
        <v>17</v>
      </c>
      <c r="C438">
        <v>9</v>
      </c>
      <c r="D438" t="s">
        <v>22</v>
      </c>
      <c r="E438" t="s">
        <v>39</v>
      </c>
      <c r="F438" t="s">
        <v>32</v>
      </c>
      <c r="G438">
        <v>0</v>
      </c>
      <c r="H438" t="s">
        <v>33</v>
      </c>
      <c r="I438" t="s">
        <v>33</v>
      </c>
      <c r="J438" t="s">
        <v>541</v>
      </c>
      <c r="K438">
        <f>IF(tblPlacement[Placement_Status]="Placed",1,0)</f>
        <v>0</v>
      </c>
      <c r="L438" t="str">
        <f>IF(tblPlacement[CGPA]&gt;=9,"9+", IF(tblPlacement[CGPA]&gt;=8,"8-9",IF(tblPlacement[CGPA]&gt;=7,"7-8","Below 7")))</f>
        <v>9+</v>
      </c>
      <c r="M438" t="str">
        <f>IF(tblPlacement[Package_LPA]&gt;=15,"High",IF(tblPlacement[Package_LPA]&gt;=8,"Medium","Low"))</f>
        <v>Low</v>
      </c>
      <c r="N438">
        <f>IF(tblPlacement[Internship]="Yes",1,0)</f>
        <v>0</v>
      </c>
    </row>
    <row r="439" spans="1:14" x14ac:dyDescent="0.3">
      <c r="A439" t="s">
        <v>542</v>
      </c>
      <c r="B439" t="s">
        <v>30</v>
      </c>
      <c r="C439">
        <v>5.9</v>
      </c>
      <c r="D439" t="s">
        <v>11</v>
      </c>
      <c r="E439" t="s">
        <v>141</v>
      </c>
      <c r="F439" t="s">
        <v>13</v>
      </c>
      <c r="G439">
        <v>14.8</v>
      </c>
      <c r="H439" t="s">
        <v>89</v>
      </c>
      <c r="I439" t="s">
        <v>37</v>
      </c>
      <c r="J439" t="s">
        <v>542</v>
      </c>
      <c r="K439">
        <f>IF(tblPlacement[Placement_Status]="Placed",1,0)</f>
        <v>1</v>
      </c>
      <c r="L439" t="str">
        <f>IF(tblPlacement[CGPA]&gt;=9,"9+", IF(tblPlacement[CGPA]&gt;=8,"8-9",IF(tblPlacement[CGPA]&gt;=7,"7-8","Below 7")))</f>
        <v>Below 7</v>
      </c>
      <c r="M439" t="str">
        <f>IF(tblPlacement[Package_LPA]&gt;=15,"High",IF(tblPlacement[Package_LPA]&gt;=8,"Medium","Low"))</f>
        <v>Medium</v>
      </c>
      <c r="N439">
        <f>IF(tblPlacement[Internship]="Yes",1,0)</f>
        <v>1</v>
      </c>
    </row>
    <row r="440" spans="1:14" x14ac:dyDescent="0.3">
      <c r="A440" t="s">
        <v>543</v>
      </c>
      <c r="B440" t="s">
        <v>17</v>
      </c>
      <c r="C440">
        <v>7.3</v>
      </c>
      <c r="D440" t="s">
        <v>22</v>
      </c>
      <c r="E440" t="s">
        <v>136</v>
      </c>
      <c r="F440" t="s">
        <v>13</v>
      </c>
      <c r="G440">
        <v>9.9</v>
      </c>
      <c r="H440" t="s">
        <v>53</v>
      </c>
      <c r="I440" t="s">
        <v>20</v>
      </c>
      <c r="J440" t="s">
        <v>543</v>
      </c>
      <c r="K440">
        <f>IF(tblPlacement[Placement_Status]="Placed",1,0)</f>
        <v>1</v>
      </c>
      <c r="L440" t="str">
        <f>IF(tblPlacement[CGPA]&gt;=9,"9+", IF(tblPlacement[CGPA]&gt;=8,"8-9",IF(tblPlacement[CGPA]&gt;=7,"7-8","Below 7")))</f>
        <v>7-8</v>
      </c>
      <c r="M440" t="str">
        <f>IF(tblPlacement[Package_LPA]&gt;=15,"High",IF(tblPlacement[Package_LPA]&gt;=8,"Medium","Low"))</f>
        <v>Medium</v>
      </c>
      <c r="N440">
        <f>IF(tblPlacement[Internship]="Yes",1,0)</f>
        <v>0</v>
      </c>
    </row>
    <row r="441" spans="1:14" x14ac:dyDescent="0.3">
      <c r="A441" t="s">
        <v>544</v>
      </c>
      <c r="B441" t="s">
        <v>26</v>
      </c>
      <c r="C441">
        <v>8.3000000000000007</v>
      </c>
      <c r="D441" t="s">
        <v>11</v>
      </c>
      <c r="E441" t="s">
        <v>84</v>
      </c>
      <c r="F441" t="s">
        <v>13</v>
      </c>
      <c r="G441">
        <v>13</v>
      </c>
      <c r="H441" t="s">
        <v>81</v>
      </c>
      <c r="I441" t="s">
        <v>20</v>
      </c>
      <c r="J441" t="s">
        <v>544</v>
      </c>
      <c r="K441">
        <f>IF(tblPlacement[Placement_Status]="Placed",1,0)</f>
        <v>1</v>
      </c>
      <c r="L441" t="str">
        <f>IF(tblPlacement[CGPA]&gt;=9,"9+", IF(tblPlacement[CGPA]&gt;=8,"8-9",IF(tblPlacement[CGPA]&gt;=7,"7-8","Below 7")))</f>
        <v>8-9</v>
      </c>
      <c r="M441" t="str">
        <f>IF(tblPlacement[Package_LPA]&gt;=15,"High",IF(tblPlacement[Package_LPA]&gt;=8,"Medium","Low"))</f>
        <v>Medium</v>
      </c>
      <c r="N441">
        <f>IF(tblPlacement[Internship]="Yes",1,0)</f>
        <v>1</v>
      </c>
    </row>
    <row r="442" spans="1:14" x14ac:dyDescent="0.3">
      <c r="A442" t="s">
        <v>545</v>
      </c>
      <c r="B442" t="s">
        <v>20</v>
      </c>
      <c r="C442">
        <v>6</v>
      </c>
      <c r="D442" t="s">
        <v>22</v>
      </c>
      <c r="E442" t="s">
        <v>23</v>
      </c>
      <c r="F442" t="s">
        <v>13</v>
      </c>
      <c r="G442">
        <v>6.3</v>
      </c>
      <c r="H442" t="s">
        <v>51</v>
      </c>
      <c r="I442" t="s">
        <v>20</v>
      </c>
      <c r="J442" t="s">
        <v>545</v>
      </c>
      <c r="K442">
        <f>IF(tblPlacement[Placement_Status]="Placed",1,0)</f>
        <v>1</v>
      </c>
      <c r="L442" t="str">
        <f>IF(tblPlacement[CGPA]&gt;=9,"9+", IF(tblPlacement[CGPA]&gt;=8,"8-9",IF(tblPlacement[CGPA]&gt;=7,"7-8","Below 7")))</f>
        <v>Below 7</v>
      </c>
      <c r="M442" t="str">
        <f>IF(tblPlacement[Package_LPA]&gt;=15,"High",IF(tblPlacement[Package_LPA]&gt;=8,"Medium","Low"))</f>
        <v>Low</v>
      </c>
      <c r="N442">
        <f>IF(tblPlacement[Internship]="Yes",1,0)</f>
        <v>0</v>
      </c>
    </row>
    <row r="443" spans="1:14" x14ac:dyDescent="0.3">
      <c r="A443" t="s">
        <v>546</v>
      </c>
      <c r="B443" t="s">
        <v>30</v>
      </c>
      <c r="C443">
        <v>9.6</v>
      </c>
      <c r="D443" t="s">
        <v>22</v>
      </c>
      <c r="E443" t="s">
        <v>18</v>
      </c>
      <c r="F443" t="s">
        <v>32</v>
      </c>
      <c r="G443">
        <v>0</v>
      </c>
      <c r="H443" t="s">
        <v>33</v>
      </c>
      <c r="I443" t="s">
        <v>33</v>
      </c>
      <c r="J443" t="s">
        <v>546</v>
      </c>
      <c r="K443">
        <f>IF(tblPlacement[Placement_Status]="Placed",1,0)</f>
        <v>0</v>
      </c>
      <c r="L443" t="str">
        <f>IF(tblPlacement[CGPA]&gt;=9,"9+", IF(tblPlacement[CGPA]&gt;=8,"8-9",IF(tblPlacement[CGPA]&gt;=7,"7-8","Below 7")))</f>
        <v>9+</v>
      </c>
      <c r="M443" t="str">
        <f>IF(tblPlacement[Package_LPA]&gt;=15,"High",IF(tblPlacement[Package_LPA]&gt;=8,"Medium","Low"))</f>
        <v>Low</v>
      </c>
      <c r="N443">
        <f>IF(tblPlacement[Internship]="Yes",1,0)</f>
        <v>0</v>
      </c>
    </row>
    <row r="444" spans="1:14" x14ac:dyDescent="0.3">
      <c r="A444" t="s">
        <v>547</v>
      </c>
      <c r="B444" t="s">
        <v>17</v>
      </c>
      <c r="C444">
        <v>7.1</v>
      </c>
      <c r="D444" t="s">
        <v>11</v>
      </c>
      <c r="E444" t="s">
        <v>18</v>
      </c>
      <c r="F444" t="s">
        <v>13</v>
      </c>
      <c r="G444">
        <v>13.5</v>
      </c>
      <c r="H444" t="s">
        <v>67</v>
      </c>
      <c r="I444" t="s">
        <v>20</v>
      </c>
      <c r="J444" t="s">
        <v>547</v>
      </c>
      <c r="K444">
        <f>IF(tblPlacement[Placement_Status]="Placed",1,0)</f>
        <v>1</v>
      </c>
      <c r="L444" t="str">
        <f>IF(tblPlacement[CGPA]&gt;=9,"9+", IF(tblPlacement[CGPA]&gt;=8,"8-9",IF(tblPlacement[CGPA]&gt;=7,"7-8","Below 7")))</f>
        <v>7-8</v>
      </c>
      <c r="M444" t="str">
        <f>IF(tblPlacement[Package_LPA]&gt;=15,"High",IF(tblPlacement[Package_LPA]&gt;=8,"Medium","Low"))</f>
        <v>Medium</v>
      </c>
      <c r="N444">
        <f>IF(tblPlacement[Internship]="Yes",1,0)</f>
        <v>1</v>
      </c>
    </row>
    <row r="445" spans="1:14" x14ac:dyDescent="0.3">
      <c r="A445" t="s">
        <v>548</v>
      </c>
      <c r="B445" t="s">
        <v>17</v>
      </c>
      <c r="C445">
        <v>6.4</v>
      </c>
      <c r="D445" t="s">
        <v>22</v>
      </c>
      <c r="E445" t="s">
        <v>80</v>
      </c>
      <c r="F445" t="s">
        <v>32</v>
      </c>
      <c r="G445">
        <v>0</v>
      </c>
      <c r="H445" t="s">
        <v>33</v>
      </c>
      <c r="I445" t="s">
        <v>33</v>
      </c>
      <c r="J445" t="s">
        <v>548</v>
      </c>
      <c r="K445">
        <f>IF(tblPlacement[Placement_Status]="Placed",1,0)</f>
        <v>0</v>
      </c>
      <c r="L445" t="str">
        <f>IF(tblPlacement[CGPA]&gt;=9,"9+", IF(tblPlacement[CGPA]&gt;=8,"8-9",IF(tblPlacement[CGPA]&gt;=7,"7-8","Below 7")))</f>
        <v>Below 7</v>
      </c>
      <c r="M445" t="str">
        <f>IF(tblPlacement[Package_LPA]&gt;=15,"High",IF(tblPlacement[Package_LPA]&gt;=8,"Medium","Low"))</f>
        <v>Low</v>
      </c>
      <c r="N445">
        <f>IF(tblPlacement[Internship]="Yes",1,0)</f>
        <v>0</v>
      </c>
    </row>
    <row r="446" spans="1:14" x14ac:dyDescent="0.3">
      <c r="A446" t="s">
        <v>549</v>
      </c>
      <c r="B446" t="s">
        <v>10</v>
      </c>
      <c r="C446">
        <v>6.5</v>
      </c>
      <c r="D446" t="s">
        <v>22</v>
      </c>
      <c r="E446" t="s">
        <v>18</v>
      </c>
      <c r="F446" t="s">
        <v>32</v>
      </c>
      <c r="G446">
        <v>0</v>
      </c>
      <c r="H446" t="s">
        <v>33</v>
      </c>
      <c r="I446" t="s">
        <v>33</v>
      </c>
      <c r="J446" t="s">
        <v>549</v>
      </c>
      <c r="K446">
        <f>IF(tblPlacement[Placement_Status]="Placed",1,0)</f>
        <v>0</v>
      </c>
      <c r="L446" t="str">
        <f>IF(tblPlacement[CGPA]&gt;=9,"9+", IF(tblPlacement[CGPA]&gt;=8,"8-9",IF(tblPlacement[CGPA]&gt;=7,"7-8","Below 7")))</f>
        <v>Below 7</v>
      </c>
      <c r="M446" t="str">
        <f>IF(tblPlacement[Package_LPA]&gt;=15,"High",IF(tblPlacement[Package_LPA]&gt;=8,"Medium","Low"))</f>
        <v>Low</v>
      </c>
      <c r="N446">
        <f>IF(tblPlacement[Internship]="Yes",1,0)</f>
        <v>0</v>
      </c>
    </row>
    <row r="447" spans="1:14" x14ac:dyDescent="0.3">
      <c r="A447" t="s">
        <v>550</v>
      </c>
      <c r="B447" t="s">
        <v>17</v>
      </c>
      <c r="C447">
        <v>6.6</v>
      </c>
      <c r="D447" t="s">
        <v>11</v>
      </c>
      <c r="E447" t="s">
        <v>86</v>
      </c>
      <c r="F447" t="s">
        <v>13</v>
      </c>
      <c r="G447">
        <v>19.8</v>
      </c>
      <c r="H447" t="s">
        <v>53</v>
      </c>
      <c r="I447" t="s">
        <v>20</v>
      </c>
      <c r="J447" t="s">
        <v>550</v>
      </c>
      <c r="K447">
        <f>IF(tblPlacement[Placement_Status]="Placed",1,0)</f>
        <v>1</v>
      </c>
      <c r="L447" t="str">
        <f>IF(tblPlacement[CGPA]&gt;=9,"9+", IF(tblPlacement[CGPA]&gt;=8,"8-9",IF(tblPlacement[CGPA]&gt;=7,"7-8","Below 7")))</f>
        <v>Below 7</v>
      </c>
      <c r="M447" t="str">
        <f>IF(tblPlacement[Package_LPA]&gt;=15,"High",IF(tblPlacement[Package_LPA]&gt;=8,"Medium","Low"))</f>
        <v>High</v>
      </c>
      <c r="N447">
        <f>IF(tblPlacement[Internship]="Yes",1,0)</f>
        <v>1</v>
      </c>
    </row>
    <row r="448" spans="1:14" x14ac:dyDescent="0.3">
      <c r="A448" t="s">
        <v>551</v>
      </c>
      <c r="B448" t="s">
        <v>131</v>
      </c>
      <c r="C448">
        <v>9.1</v>
      </c>
      <c r="D448" t="s">
        <v>11</v>
      </c>
      <c r="E448" t="s">
        <v>552</v>
      </c>
      <c r="F448" t="s">
        <v>13</v>
      </c>
      <c r="G448">
        <v>24.4</v>
      </c>
      <c r="H448" t="s">
        <v>115</v>
      </c>
      <c r="I448" t="s">
        <v>309</v>
      </c>
      <c r="J448" t="s">
        <v>551</v>
      </c>
      <c r="K448">
        <f>IF(tblPlacement[Placement_Status]="Placed",1,0)</f>
        <v>1</v>
      </c>
      <c r="L448" t="str">
        <f>IF(tblPlacement[CGPA]&gt;=9,"9+", IF(tblPlacement[CGPA]&gt;=8,"8-9",IF(tblPlacement[CGPA]&gt;=7,"7-8","Below 7")))</f>
        <v>9+</v>
      </c>
      <c r="M448" t="str">
        <f>IF(tblPlacement[Package_LPA]&gt;=15,"High",IF(tblPlacement[Package_LPA]&gt;=8,"Medium","Low"))</f>
        <v>High</v>
      </c>
      <c r="N448">
        <f>IF(tblPlacement[Internship]="Yes",1,0)</f>
        <v>1</v>
      </c>
    </row>
    <row r="449" spans="1:14" x14ac:dyDescent="0.3">
      <c r="A449" t="s">
        <v>553</v>
      </c>
      <c r="B449" t="s">
        <v>43</v>
      </c>
      <c r="C449">
        <v>6.4</v>
      </c>
      <c r="D449" t="s">
        <v>22</v>
      </c>
      <c r="E449" t="s">
        <v>58</v>
      </c>
      <c r="F449" t="s">
        <v>13</v>
      </c>
      <c r="G449">
        <v>15.2</v>
      </c>
      <c r="H449" t="s">
        <v>51</v>
      </c>
      <c r="I449" t="s">
        <v>20</v>
      </c>
      <c r="J449" t="s">
        <v>553</v>
      </c>
      <c r="K449">
        <f>IF(tblPlacement[Placement_Status]="Placed",1,0)</f>
        <v>1</v>
      </c>
      <c r="L449" t="str">
        <f>IF(tblPlacement[CGPA]&gt;=9,"9+", IF(tblPlacement[CGPA]&gt;=8,"8-9",IF(tblPlacement[CGPA]&gt;=7,"7-8","Below 7")))</f>
        <v>Below 7</v>
      </c>
      <c r="M449" t="str">
        <f>IF(tblPlacement[Package_LPA]&gt;=15,"High",IF(tblPlacement[Package_LPA]&gt;=8,"Medium","Low"))</f>
        <v>High</v>
      </c>
      <c r="N449">
        <f>IF(tblPlacement[Internship]="Yes",1,0)</f>
        <v>0</v>
      </c>
    </row>
    <row r="450" spans="1:14" x14ac:dyDescent="0.3">
      <c r="A450" t="s">
        <v>554</v>
      </c>
      <c r="B450" t="s">
        <v>43</v>
      </c>
      <c r="C450">
        <v>8</v>
      </c>
      <c r="D450" t="s">
        <v>22</v>
      </c>
      <c r="E450" t="s">
        <v>234</v>
      </c>
      <c r="F450" t="s">
        <v>32</v>
      </c>
      <c r="G450">
        <v>0</v>
      </c>
      <c r="H450" t="s">
        <v>33</v>
      </c>
      <c r="I450" t="s">
        <v>33</v>
      </c>
      <c r="J450" t="s">
        <v>554</v>
      </c>
      <c r="K450">
        <f>IF(tblPlacement[Placement_Status]="Placed",1,0)</f>
        <v>0</v>
      </c>
      <c r="L450" t="str">
        <f>IF(tblPlacement[CGPA]&gt;=9,"9+", IF(tblPlacement[CGPA]&gt;=8,"8-9",IF(tblPlacement[CGPA]&gt;=7,"7-8","Below 7")))</f>
        <v>8-9</v>
      </c>
      <c r="M450" t="str">
        <f>IF(tblPlacement[Package_LPA]&gt;=15,"High",IF(tblPlacement[Package_LPA]&gt;=8,"Medium","Low"))</f>
        <v>Low</v>
      </c>
      <c r="N450">
        <f>IF(tblPlacement[Internship]="Yes",1,0)</f>
        <v>0</v>
      </c>
    </row>
    <row r="451" spans="1:14" x14ac:dyDescent="0.3">
      <c r="A451" t="s">
        <v>555</v>
      </c>
      <c r="B451" t="s">
        <v>10</v>
      </c>
      <c r="C451">
        <v>9.8000000000000007</v>
      </c>
      <c r="D451" t="s">
        <v>11</v>
      </c>
      <c r="E451" t="s">
        <v>39</v>
      </c>
      <c r="F451" t="s">
        <v>13</v>
      </c>
      <c r="G451">
        <v>11.6</v>
      </c>
      <c r="H451" t="s">
        <v>41</v>
      </c>
      <c r="I451" t="s">
        <v>15</v>
      </c>
      <c r="J451" t="s">
        <v>555</v>
      </c>
      <c r="K451">
        <f>IF(tblPlacement[Placement_Status]="Placed",1,0)</f>
        <v>1</v>
      </c>
      <c r="L451" t="str">
        <f>IF(tblPlacement[CGPA]&gt;=9,"9+", IF(tblPlacement[CGPA]&gt;=8,"8-9",IF(tblPlacement[CGPA]&gt;=7,"7-8","Below 7")))</f>
        <v>9+</v>
      </c>
      <c r="M451" t="str">
        <f>IF(tblPlacement[Package_LPA]&gt;=15,"High",IF(tblPlacement[Package_LPA]&gt;=8,"Medium","Low"))</f>
        <v>Medium</v>
      </c>
      <c r="N451">
        <f>IF(tblPlacement[Internship]="Yes",1,0)</f>
        <v>1</v>
      </c>
    </row>
    <row r="452" spans="1:14" x14ac:dyDescent="0.3">
      <c r="A452" t="s">
        <v>556</v>
      </c>
      <c r="B452" t="s">
        <v>10</v>
      </c>
      <c r="C452">
        <v>8.1</v>
      </c>
      <c r="D452" t="s">
        <v>11</v>
      </c>
      <c r="E452" t="s">
        <v>18</v>
      </c>
      <c r="F452" t="s">
        <v>13</v>
      </c>
      <c r="G452">
        <v>7.2</v>
      </c>
      <c r="H452" t="s">
        <v>53</v>
      </c>
      <c r="I452" t="s">
        <v>20</v>
      </c>
      <c r="J452" t="s">
        <v>556</v>
      </c>
      <c r="K452">
        <f>IF(tblPlacement[Placement_Status]="Placed",1,0)</f>
        <v>1</v>
      </c>
      <c r="L452" t="str">
        <f>IF(tblPlacement[CGPA]&gt;=9,"9+", IF(tblPlacement[CGPA]&gt;=8,"8-9",IF(tblPlacement[CGPA]&gt;=7,"7-8","Below 7")))</f>
        <v>8-9</v>
      </c>
      <c r="M452" t="str">
        <f>IF(tblPlacement[Package_LPA]&gt;=15,"High",IF(tblPlacement[Package_LPA]&gt;=8,"Medium","Low"))</f>
        <v>Low</v>
      </c>
      <c r="N452">
        <f>IF(tblPlacement[Internship]="Yes",1,0)</f>
        <v>1</v>
      </c>
    </row>
    <row r="453" spans="1:14" x14ac:dyDescent="0.3">
      <c r="A453" t="s">
        <v>557</v>
      </c>
      <c r="B453" t="s">
        <v>17</v>
      </c>
      <c r="C453">
        <v>5.8</v>
      </c>
      <c r="D453" t="s">
        <v>11</v>
      </c>
      <c r="E453" t="s">
        <v>23</v>
      </c>
      <c r="F453" t="s">
        <v>32</v>
      </c>
      <c r="G453">
        <v>0</v>
      </c>
      <c r="H453" t="s">
        <v>33</v>
      </c>
      <c r="I453" t="s">
        <v>33</v>
      </c>
      <c r="J453" t="s">
        <v>557</v>
      </c>
      <c r="K453">
        <f>IF(tblPlacement[Placement_Status]="Placed",1,0)</f>
        <v>0</v>
      </c>
      <c r="L453" t="str">
        <f>IF(tblPlacement[CGPA]&gt;=9,"9+", IF(tblPlacement[CGPA]&gt;=8,"8-9",IF(tblPlacement[CGPA]&gt;=7,"7-8","Below 7")))</f>
        <v>Below 7</v>
      </c>
      <c r="M453" t="str">
        <f>IF(tblPlacement[Package_LPA]&gt;=15,"High",IF(tblPlacement[Package_LPA]&gt;=8,"Medium","Low"))</f>
        <v>Low</v>
      </c>
      <c r="N453">
        <f>IF(tblPlacement[Internship]="Yes",1,0)</f>
        <v>1</v>
      </c>
    </row>
    <row r="454" spans="1:14" x14ac:dyDescent="0.3">
      <c r="A454" t="s">
        <v>558</v>
      </c>
      <c r="B454" t="s">
        <v>26</v>
      </c>
      <c r="C454">
        <v>8.1999999999999993</v>
      </c>
      <c r="D454" t="s">
        <v>11</v>
      </c>
      <c r="E454" t="s">
        <v>144</v>
      </c>
      <c r="F454" t="s">
        <v>32</v>
      </c>
      <c r="G454">
        <v>0</v>
      </c>
      <c r="H454" t="s">
        <v>33</v>
      </c>
      <c r="I454" t="s">
        <v>33</v>
      </c>
      <c r="J454" t="s">
        <v>558</v>
      </c>
      <c r="K454">
        <f>IF(tblPlacement[Placement_Status]="Placed",1,0)</f>
        <v>0</v>
      </c>
      <c r="L454" t="str">
        <f>IF(tblPlacement[CGPA]&gt;=9,"9+", IF(tblPlacement[CGPA]&gt;=8,"8-9",IF(tblPlacement[CGPA]&gt;=7,"7-8","Below 7")))</f>
        <v>8-9</v>
      </c>
      <c r="M454" t="str">
        <f>IF(tblPlacement[Package_LPA]&gt;=15,"High",IF(tblPlacement[Package_LPA]&gt;=8,"Medium","Low"))</f>
        <v>Low</v>
      </c>
      <c r="N454">
        <f>IF(tblPlacement[Internship]="Yes",1,0)</f>
        <v>1</v>
      </c>
    </row>
    <row r="455" spans="1:14" x14ac:dyDescent="0.3">
      <c r="A455" t="s">
        <v>559</v>
      </c>
      <c r="B455" t="s">
        <v>20</v>
      </c>
      <c r="C455">
        <v>8.8000000000000007</v>
      </c>
      <c r="D455" t="s">
        <v>11</v>
      </c>
      <c r="E455" t="s">
        <v>80</v>
      </c>
      <c r="F455" t="s">
        <v>13</v>
      </c>
      <c r="G455">
        <v>14.8</v>
      </c>
      <c r="H455" t="s">
        <v>72</v>
      </c>
      <c r="I455" t="s">
        <v>20</v>
      </c>
      <c r="J455" t="s">
        <v>559</v>
      </c>
      <c r="K455">
        <f>IF(tblPlacement[Placement_Status]="Placed",1,0)</f>
        <v>1</v>
      </c>
      <c r="L455" t="str">
        <f>IF(tblPlacement[CGPA]&gt;=9,"9+", IF(tblPlacement[CGPA]&gt;=8,"8-9",IF(tblPlacement[CGPA]&gt;=7,"7-8","Below 7")))</f>
        <v>8-9</v>
      </c>
      <c r="M455" t="str">
        <f>IF(tblPlacement[Package_LPA]&gt;=15,"High",IF(tblPlacement[Package_LPA]&gt;=8,"Medium","Low"))</f>
        <v>Medium</v>
      </c>
      <c r="N455">
        <f>IF(tblPlacement[Internship]="Yes",1,0)</f>
        <v>1</v>
      </c>
    </row>
    <row r="456" spans="1:14" x14ac:dyDescent="0.3">
      <c r="A456" t="s">
        <v>560</v>
      </c>
      <c r="B456" t="s">
        <v>30</v>
      </c>
      <c r="C456">
        <v>9.5</v>
      </c>
      <c r="D456" t="s">
        <v>11</v>
      </c>
      <c r="E456" t="s">
        <v>18</v>
      </c>
      <c r="F456" t="s">
        <v>13</v>
      </c>
      <c r="G456">
        <v>8.5</v>
      </c>
      <c r="H456" t="s">
        <v>142</v>
      </c>
      <c r="I456" t="s">
        <v>37</v>
      </c>
      <c r="J456" t="s">
        <v>560</v>
      </c>
      <c r="K456">
        <f>IF(tblPlacement[Placement_Status]="Placed",1,0)</f>
        <v>1</v>
      </c>
      <c r="L456" t="str">
        <f>IF(tblPlacement[CGPA]&gt;=9,"9+", IF(tblPlacement[CGPA]&gt;=8,"8-9",IF(tblPlacement[CGPA]&gt;=7,"7-8","Below 7")))</f>
        <v>9+</v>
      </c>
      <c r="M456" t="str">
        <f>IF(tblPlacement[Package_LPA]&gt;=15,"High",IF(tblPlacement[Package_LPA]&gt;=8,"Medium","Low"))</f>
        <v>Medium</v>
      </c>
      <c r="N456">
        <f>IF(tblPlacement[Internship]="Yes",1,0)</f>
        <v>1</v>
      </c>
    </row>
    <row r="457" spans="1:14" x14ac:dyDescent="0.3">
      <c r="A457" t="s">
        <v>561</v>
      </c>
      <c r="B457" t="s">
        <v>17</v>
      </c>
      <c r="C457">
        <v>6.1</v>
      </c>
      <c r="D457" t="s">
        <v>11</v>
      </c>
      <c r="E457" t="s">
        <v>76</v>
      </c>
      <c r="F457" t="s">
        <v>13</v>
      </c>
      <c r="G457">
        <v>11.1</v>
      </c>
      <c r="H457" t="s">
        <v>72</v>
      </c>
      <c r="I457" t="s">
        <v>20</v>
      </c>
      <c r="J457" t="s">
        <v>561</v>
      </c>
      <c r="K457">
        <f>IF(tblPlacement[Placement_Status]="Placed",1,0)</f>
        <v>1</v>
      </c>
      <c r="L457" t="str">
        <f>IF(tblPlacement[CGPA]&gt;=9,"9+", IF(tblPlacement[CGPA]&gt;=8,"8-9",IF(tblPlacement[CGPA]&gt;=7,"7-8","Below 7")))</f>
        <v>Below 7</v>
      </c>
      <c r="M457" t="str">
        <f>IF(tblPlacement[Package_LPA]&gt;=15,"High",IF(tblPlacement[Package_LPA]&gt;=8,"Medium","Low"))</f>
        <v>Medium</v>
      </c>
      <c r="N457">
        <f>IF(tblPlacement[Internship]="Yes",1,0)</f>
        <v>1</v>
      </c>
    </row>
    <row r="458" spans="1:14" x14ac:dyDescent="0.3">
      <c r="A458" t="s">
        <v>562</v>
      </c>
      <c r="B458" t="s">
        <v>10</v>
      </c>
      <c r="C458">
        <v>6</v>
      </c>
      <c r="D458" t="s">
        <v>22</v>
      </c>
      <c r="E458" t="s">
        <v>185</v>
      </c>
      <c r="F458" t="s">
        <v>32</v>
      </c>
      <c r="G458">
        <v>0</v>
      </c>
      <c r="H458" t="s">
        <v>33</v>
      </c>
      <c r="I458" t="s">
        <v>33</v>
      </c>
      <c r="J458" t="s">
        <v>562</v>
      </c>
      <c r="K458">
        <f>IF(tblPlacement[Placement_Status]="Placed",1,0)</f>
        <v>0</v>
      </c>
      <c r="L458" t="str">
        <f>IF(tblPlacement[CGPA]&gt;=9,"9+", IF(tblPlacement[CGPA]&gt;=8,"8-9",IF(tblPlacement[CGPA]&gt;=7,"7-8","Below 7")))</f>
        <v>Below 7</v>
      </c>
      <c r="M458" t="str">
        <f>IF(tblPlacement[Package_LPA]&gt;=15,"High",IF(tblPlacement[Package_LPA]&gt;=8,"Medium","Low"))</f>
        <v>Low</v>
      </c>
      <c r="N458">
        <f>IF(tblPlacement[Internship]="Yes",1,0)</f>
        <v>0</v>
      </c>
    </row>
    <row r="459" spans="1:14" x14ac:dyDescent="0.3">
      <c r="A459" t="s">
        <v>563</v>
      </c>
      <c r="B459" t="s">
        <v>17</v>
      </c>
      <c r="C459">
        <v>8.8000000000000007</v>
      </c>
      <c r="D459" t="s">
        <v>11</v>
      </c>
      <c r="E459" t="s">
        <v>23</v>
      </c>
      <c r="F459" t="s">
        <v>13</v>
      </c>
      <c r="G459">
        <v>16.8</v>
      </c>
      <c r="H459" t="s">
        <v>67</v>
      </c>
      <c r="I459" t="s">
        <v>20</v>
      </c>
      <c r="J459" t="s">
        <v>563</v>
      </c>
      <c r="K459">
        <f>IF(tblPlacement[Placement_Status]="Placed",1,0)</f>
        <v>1</v>
      </c>
      <c r="L459" t="str">
        <f>IF(tblPlacement[CGPA]&gt;=9,"9+", IF(tblPlacement[CGPA]&gt;=8,"8-9",IF(tblPlacement[CGPA]&gt;=7,"7-8","Below 7")))</f>
        <v>8-9</v>
      </c>
      <c r="M459" t="str">
        <f>IF(tblPlacement[Package_LPA]&gt;=15,"High",IF(tblPlacement[Package_LPA]&gt;=8,"Medium","Low"))</f>
        <v>High</v>
      </c>
      <c r="N459">
        <f>IF(tblPlacement[Internship]="Yes",1,0)</f>
        <v>1</v>
      </c>
    </row>
    <row r="460" spans="1:14" x14ac:dyDescent="0.3">
      <c r="A460" t="s">
        <v>564</v>
      </c>
      <c r="B460" t="s">
        <v>20</v>
      </c>
      <c r="C460">
        <v>9.6</v>
      </c>
      <c r="D460" t="s">
        <v>11</v>
      </c>
      <c r="E460" t="s">
        <v>18</v>
      </c>
      <c r="F460" t="s">
        <v>13</v>
      </c>
      <c r="G460">
        <v>21.5</v>
      </c>
      <c r="H460" t="s">
        <v>51</v>
      </c>
      <c r="I460" t="s">
        <v>20</v>
      </c>
      <c r="J460" t="s">
        <v>564</v>
      </c>
      <c r="K460">
        <f>IF(tblPlacement[Placement_Status]="Placed",1,0)</f>
        <v>1</v>
      </c>
      <c r="L460" t="str">
        <f>IF(tblPlacement[CGPA]&gt;=9,"9+", IF(tblPlacement[CGPA]&gt;=8,"8-9",IF(tblPlacement[CGPA]&gt;=7,"7-8","Below 7")))</f>
        <v>9+</v>
      </c>
      <c r="M460" t="str">
        <f>IF(tblPlacement[Package_LPA]&gt;=15,"High",IF(tblPlacement[Package_LPA]&gt;=8,"Medium","Low"))</f>
        <v>High</v>
      </c>
      <c r="N460">
        <f>IF(tblPlacement[Internship]="Yes",1,0)</f>
        <v>1</v>
      </c>
    </row>
    <row r="461" spans="1:14" x14ac:dyDescent="0.3">
      <c r="A461" t="s">
        <v>565</v>
      </c>
      <c r="B461" t="s">
        <v>30</v>
      </c>
      <c r="C461">
        <v>5.3</v>
      </c>
      <c r="D461" t="s">
        <v>11</v>
      </c>
      <c r="E461" t="s">
        <v>18</v>
      </c>
      <c r="F461" t="s">
        <v>13</v>
      </c>
      <c r="G461">
        <v>9.6999999999999993</v>
      </c>
      <c r="H461" t="s">
        <v>36</v>
      </c>
      <c r="I461" t="s">
        <v>37</v>
      </c>
      <c r="J461" t="s">
        <v>565</v>
      </c>
      <c r="K461">
        <f>IF(tblPlacement[Placement_Status]="Placed",1,0)</f>
        <v>1</v>
      </c>
      <c r="L461" t="str">
        <f>IF(tblPlacement[CGPA]&gt;=9,"9+", IF(tblPlacement[CGPA]&gt;=8,"8-9",IF(tblPlacement[CGPA]&gt;=7,"7-8","Below 7")))</f>
        <v>Below 7</v>
      </c>
      <c r="M461" t="str">
        <f>IF(tblPlacement[Package_LPA]&gt;=15,"High",IF(tblPlacement[Package_LPA]&gt;=8,"Medium","Low"))</f>
        <v>Medium</v>
      </c>
      <c r="N461">
        <f>IF(tblPlacement[Internship]="Yes",1,0)</f>
        <v>1</v>
      </c>
    </row>
    <row r="462" spans="1:14" x14ac:dyDescent="0.3">
      <c r="A462" t="s">
        <v>566</v>
      </c>
      <c r="B462" t="s">
        <v>30</v>
      </c>
      <c r="C462">
        <v>6</v>
      </c>
      <c r="D462" t="s">
        <v>22</v>
      </c>
      <c r="E462" t="s">
        <v>31</v>
      </c>
      <c r="F462" t="s">
        <v>32</v>
      </c>
      <c r="G462">
        <v>0</v>
      </c>
      <c r="H462" t="s">
        <v>33</v>
      </c>
      <c r="I462" t="s">
        <v>33</v>
      </c>
      <c r="J462" t="s">
        <v>566</v>
      </c>
      <c r="K462">
        <f>IF(tblPlacement[Placement_Status]="Placed",1,0)</f>
        <v>0</v>
      </c>
      <c r="L462" t="str">
        <f>IF(tblPlacement[CGPA]&gt;=9,"9+", IF(tblPlacement[CGPA]&gt;=8,"8-9",IF(tblPlacement[CGPA]&gt;=7,"7-8","Below 7")))</f>
        <v>Below 7</v>
      </c>
      <c r="M462" t="str">
        <f>IF(tblPlacement[Package_LPA]&gt;=15,"High",IF(tblPlacement[Package_LPA]&gt;=8,"Medium","Low"))</f>
        <v>Low</v>
      </c>
      <c r="N462">
        <f>IF(tblPlacement[Internship]="Yes",1,0)</f>
        <v>0</v>
      </c>
    </row>
    <row r="463" spans="1:14" x14ac:dyDescent="0.3">
      <c r="A463" t="s">
        <v>567</v>
      </c>
      <c r="B463" t="s">
        <v>20</v>
      </c>
      <c r="C463">
        <v>7.6</v>
      </c>
      <c r="D463" t="s">
        <v>11</v>
      </c>
      <c r="E463" t="s">
        <v>200</v>
      </c>
      <c r="F463" t="s">
        <v>32</v>
      </c>
      <c r="G463">
        <v>0</v>
      </c>
      <c r="H463" t="s">
        <v>33</v>
      </c>
      <c r="I463" t="s">
        <v>33</v>
      </c>
      <c r="J463" t="s">
        <v>567</v>
      </c>
      <c r="K463">
        <f>IF(tblPlacement[Placement_Status]="Placed",1,0)</f>
        <v>0</v>
      </c>
      <c r="L463" t="str">
        <f>IF(tblPlacement[CGPA]&gt;=9,"9+", IF(tblPlacement[CGPA]&gt;=8,"8-9",IF(tblPlacement[CGPA]&gt;=7,"7-8","Below 7")))</f>
        <v>7-8</v>
      </c>
      <c r="M463" t="str">
        <f>IF(tblPlacement[Package_LPA]&gt;=15,"High",IF(tblPlacement[Package_LPA]&gt;=8,"Medium","Low"))</f>
        <v>Low</v>
      </c>
      <c r="N463">
        <f>IF(tblPlacement[Internship]="Yes",1,0)</f>
        <v>1</v>
      </c>
    </row>
    <row r="464" spans="1:14" x14ac:dyDescent="0.3">
      <c r="A464" t="s">
        <v>568</v>
      </c>
      <c r="B464" t="s">
        <v>131</v>
      </c>
      <c r="C464">
        <v>6.8</v>
      </c>
      <c r="D464" t="s">
        <v>22</v>
      </c>
      <c r="E464" t="s">
        <v>513</v>
      </c>
      <c r="F464" t="s">
        <v>32</v>
      </c>
      <c r="G464">
        <v>0</v>
      </c>
      <c r="H464" t="s">
        <v>33</v>
      </c>
      <c r="I464" t="s">
        <v>33</v>
      </c>
      <c r="J464" t="s">
        <v>568</v>
      </c>
      <c r="K464">
        <f>IF(tblPlacement[Placement_Status]="Placed",1,0)</f>
        <v>0</v>
      </c>
      <c r="L464" t="str">
        <f>IF(tblPlacement[CGPA]&gt;=9,"9+", IF(tblPlacement[CGPA]&gt;=8,"8-9",IF(tblPlacement[CGPA]&gt;=7,"7-8","Below 7")))</f>
        <v>Below 7</v>
      </c>
      <c r="M464" t="str">
        <f>IF(tblPlacement[Package_LPA]&gt;=15,"High",IF(tblPlacement[Package_LPA]&gt;=8,"Medium","Low"))</f>
        <v>Low</v>
      </c>
      <c r="N464">
        <f>IF(tblPlacement[Internship]="Yes",1,0)</f>
        <v>0</v>
      </c>
    </row>
    <row r="465" spans="1:14" x14ac:dyDescent="0.3">
      <c r="A465" t="s">
        <v>569</v>
      </c>
      <c r="B465" t="s">
        <v>17</v>
      </c>
      <c r="C465">
        <v>9.4</v>
      </c>
      <c r="D465" t="s">
        <v>22</v>
      </c>
      <c r="E465" t="s">
        <v>18</v>
      </c>
      <c r="F465" t="s">
        <v>13</v>
      </c>
      <c r="G465">
        <v>15.7</v>
      </c>
      <c r="H465" t="s">
        <v>19</v>
      </c>
      <c r="I465" t="s">
        <v>20</v>
      </c>
      <c r="J465" t="s">
        <v>569</v>
      </c>
      <c r="K465">
        <f>IF(tblPlacement[Placement_Status]="Placed",1,0)</f>
        <v>1</v>
      </c>
      <c r="L465" t="str">
        <f>IF(tblPlacement[CGPA]&gt;=9,"9+", IF(tblPlacement[CGPA]&gt;=8,"8-9",IF(tblPlacement[CGPA]&gt;=7,"7-8","Below 7")))</f>
        <v>9+</v>
      </c>
      <c r="M465" t="str">
        <f>IF(tblPlacement[Package_LPA]&gt;=15,"High",IF(tblPlacement[Package_LPA]&gt;=8,"Medium","Low"))</f>
        <v>High</v>
      </c>
      <c r="N465">
        <f>IF(tblPlacement[Internship]="Yes",1,0)</f>
        <v>0</v>
      </c>
    </row>
    <row r="466" spans="1:14" x14ac:dyDescent="0.3">
      <c r="A466" t="s">
        <v>570</v>
      </c>
      <c r="B466" t="s">
        <v>30</v>
      </c>
      <c r="C466">
        <v>6</v>
      </c>
      <c r="D466" t="s">
        <v>11</v>
      </c>
      <c r="E466" t="s">
        <v>285</v>
      </c>
      <c r="F466" t="s">
        <v>13</v>
      </c>
      <c r="G466">
        <v>12.2</v>
      </c>
      <c r="H466" t="s">
        <v>484</v>
      </c>
      <c r="I466" t="s">
        <v>37</v>
      </c>
      <c r="J466" t="s">
        <v>570</v>
      </c>
      <c r="K466">
        <f>IF(tblPlacement[Placement_Status]="Placed",1,0)</f>
        <v>1</v>
      </c>
      <c r="L466" t="str">
        <f>IF(tblPlacement[CGPA]&gt;=9,"9+", IF(tblPlacement[CGPA]&gt;=8,"8-9",IF(tblPlacement[CGPA]&gt;=7,"7-8","Below 7")))</f>
        <v>Below 7</v>
      </c>
      <c r="M466" t="str">
        <f>IF(tblPlacement[Package_LPA]&gt;=15,"High",IF(tblPlacement[Package_LPA]&gt;=8,"Medium","Low"))</f>
        <v>Medium</v>
      </c>
      <c r="N466">
        <f>IF(tblPlacement[Internship]="Yes",1,0)</f>
        <v>1</v>
      </c>
    </row>
    <row r="467" spans="1:14" x14ac:dyDescent="0.3">
      <c r="A467" t="s">
        <v>571</v>
      </c>
      <c r="B467" t="s">
        <v>17</v>
      </c>
      <c r="C467">
        <v>5.7</v>
      </c>
      <c r="D467" t="s">
        <v>22</v>
      </c>
      <c r="E467" t="s">
        <v>18</v>
      </c>
      <c r="F467" t="s">
        <v>32</v>
      </c>
      <c r="G467">
        <v>0</v>
      </c>
      <c r="H467" t="s">
        <v>33</v>
      </c>
      <c r="I467" t="s">
        <v>33</v>
      </c>
      <c r="J467" t="s">
        <v>571</v>
      </c>
      <c r="K467">
        <f>IF(tblPlacement[Placement_Status]="Placed",1,0)</f>
        <v>0</v>
      </c>
      <c r="L467" t="str">
        <f>IF(tblPlacement[CGPA]&gt;=9,"9+", IF(tblPlacement[CGPA]&gt;=8,"8-9",IF(tblPlacement[CGPA]&gt;=7,"7-8","Below 7")))</f>
        <v>Below 7</v>
      </c>
      <c r="M467" t="str">
        <f>IF(tblPlacement[Package_LPA]&gt;=15,"High",IF(tblPlacement[Package_LPA]&gt;=8,"Medium","Low"))</f>
        <v>Low</v>
      </c>
      <c r="N467">
        <f>IF(tblPlacement[Internship]="Yes",1,0)</f>
        <v>0</v>
      </c>
    </row>
    <row r="468" spans="1:14" x14ac:dyDescent="0.3">
      <c r="A468" t="s">
        <v>572</v>
      </c>
      <c r="B468" t="s">
        <v>20</v>
      </c>
      <c r="C468">
        <v>6.9</v>
      </c>
      <c r="D468" t="s">
        <v>11</v>
      </c>
      <c r="E468" t="s">
        <v>71</v>
      </c>
      <c r="F468" t="s">
        <v>32</v>
      </c>
      <c r="G468">
        <v>0</v>
      </c>
      <c r="H468" t="s">
        <v>33</v>
      </c>
      <c r="I468" t="s">
        <v>33</v>
      </c>
      <c r="J468" t="s">
        <v>572</v>
      </c>
      <c r="K468">
        <f>IF(tblPlacement[Placement_Status]="Placed",1,0)</f>
        <v>0</v>
      </c>
      <c r="L468" t="str">
        <f>IF(tblPlacement[CGPA]&gt;=9,"9+", IF(tblPlacement[CGPA]&gt;=8,"8-9",IF(tblPlacement[CGPA]&gt;=7,"7-8","Below 7")))</f>
        <v>Below 7</v>
      </c>
      <c r="M468" t="str">
        <f>IF(tblPlacement[Package_LPA]&gt;=15,"High",IF(tblPlacement[Package_LPA]&gt;=8,"Medium","Low"))</f>
        <v>Low</v>
      </c>
      <c r="N468">
        <f>IF(tblPlacement[Internship]="Yes",1,0)</f>
        <v>1</v>
      </c>
    </row>
    <row r="469" spans="1:14" x14ac:dyDescent="0.3">
      <c r="A469" t="s">
        <v>573</v>
      </c>
      <c r="B469" t="s">
        <v>17</v>
      </c>
      <c r="C469">
        <v>8.4</v>
      </c>
      <c r="D469" t="s">
        <v>11</v>
      </c>
      <c r="E469" t="s">
        <v>86</v>
      </c>
      <c r="F469" t="s">
        <v>13</v>
      </c>
      <c r="G469">
        <v>11</v>
      </c>
      <c r="H469" t="s">
        <v>67</v>
      </c>
      <c r="I469" t="s">
        <v>20</v>
      </c>
      <c r="J469" t="s">
        <v>573</v>
      </c>
      <c r="K469">
        <f>IF(tblPlacement[Placement_Status]="Placed",1,0)</f>
        <v>1</v>
      </c>
      <c r="L469" t="str">
        <f>IF(tblPlacement[CGPA]&gt;=9,"9+", IF(tblPlacement[CGPA]&gt;=8,"8-9",IF(tblPlacement[CGPA]&gt;=7,"7-8","Below 7")))</f>
        <v>8-9</v>
      </c>
      <c r="M469" t="str">
        <f>IF(tblPlacement[Package_LPA]&gt;=15,"High",IF(tblPlacement[Package_LPA]&gt;=8,"Medium","Low"))</f>
        <v>Medium</v>
      </c>
      <c r="N469">
        <f>IF(tblPlacement[Internship]="Yes",1,0)</f>
        <v>1</v>
      </c>
    </row>
    <row r="470" spans="1:14" x14ac:dyDescent="0.3">
      <c r="A470" t="s">
        <v>574</v>
      </c>
      <c r="B470" t="s">
        <v>26</v>
      </c>
      <c r="C470">
        <v>7.6</v>
      </c>
      <c r="D470" t="s">
        <v>22</v>
      </c>
      <c r="E470" t="s">
        <v>63</v>
      </c>
      <c r="F470" t="s">
        <v>13</v>
      </c>
      <c r="G470">
        <v>10.5</v>
      </c>
      <c r="H470" t="s">
        <v>151</v>
      </c>
      <c r="I470" t="s">
        <v>26</v>
      </c>
      <c r="J470" t="s">
        <v>574</v>
      </c>
      <c r="K470">
        <f>IF(tblPlacement[Placement_Status]="Placed",1,0)</f>
        <v>1</v>
      </c>
      <c r="L470" t="str">
        <f>IF(tblPlacement[CGPA]&gt;=9,"9+", IF(tblPlacement[CGPA]&gt;=8,"8-9",IF(tblPlacement[CGPA]&gt;=7,"7-8","Below 7")))</f>
        <v>7-8</v>
      </c>
      <c r="M470" t="str">
        <f>IF(tblPlacement[Package_LPA]&gt;=15,"High",IF(tblPlacement[Package_LPA]&gt;=8,"Medium","Low"))</f>
        <v>Medium</v>
      </c>
      <c r="N470">
        <f>IF(tblPlacement[Internship]="Yes",1,0)</f>
        <v>0</v>
      </c>
    </row>
    <row r="471" spans="1:14" x14ac:dyDescent="0.3">
      <c r="A471" t="s">
        <v>575</v>
      </c>
      <c r="B471" t="s">
        <v>43</v>
      </c>
      <c r="C471">
        <v>9.6999999999999993</v>
      </c>
      <c r="D471" t="s">
        <v>11</v>
      </c>
      <c r="E471" t="s">
        <v>60</v>
      </c>
      <c r="F471" t="s">
        <v>13</v>
      </c>
      <c r="G471">
        <v>14.7</v>
      </c>
      <c r="H471" t="s">
        <v>56</v>
      </c>
      <c r="I471" t="s">
        <v>43</v>
      </c>
      <c r="J471" t="s">
        <v>575</v>
      </c>
      <c r="K471">
        <f>IF(tblPlacement[Placement_Status]="Placed",1,0)</f>
        <v>1</v>
      </c>
      <c r="L471" t="str">
        <f>IF(tblPlacement[CGPA]&gt;=9,"9+", IF(tblPlacement[CGPA]&gt;=8,"8-9",IF(tblPlacement[CGPA]&gt;=7,"7-8","Below 7")))</f>
        <v>9+</v>
      </c>
      <c r="M471" t="str">
        <f>IF(tblPlacement[Package_LPA]&gt;=15,"High",IF(tblPlacement[Package_LPA]&gt;=8,"Medium","Low"))</f>
        <v>Medium</v>
      </c>
      <c r="N471">
        <f>IF(tblPlacement[Internship]="Yes",1,0)</f>
        <v>1</v>
      </c>
    </row>
    <row r="472" spans="1:14" x14ac:dyDescent="0.3">
      <c r="A472" t="s">
        <v>576</v>
      </c>
      <c r="B472" t="s">
        <v>17</v>
      </c>
      <c r="C472">
        <v>5.3</v>
      </c>
      <c r="D472" t="s">
        <v>11</v>
      </c>
      <c r="E472" t="s">
        <v>46</v>
      </c>
      <c r="F472" t="s">
        <v>32</v>
      </c>
      <c r="G472">
        <v>0</v>
      </c>
      <c r="H472" t="s">
        <v>33</v>
      </c>
      <c r="I472" t="s">
        <v>33</v>
      </c>
      <c r="J472" t="s">
        <v>576</v>
      </c>
      <c r="K472">
        <f>IF(tblPlacement[Placement_Status]="Placed",1,0)</f>
        <v>0</v>
      </c>
      <c r="L472" t="str">
        <f>IF(tblPlacement[CGPA]&gt;=9,"9+", IF(tblPlacement[CGPA]&gt;=8,"8-9",IF(tblPlacement[CGPA]&gt;=7,"7-8","Below 7")))</f>
        <v>Below 7</v>
      </c>
      <c r="M472" t="str">
        <f>IF(tblPlacement[Package_LPA]&gt;=15,"High",IF(tblPlacement[Package_LPA]&gt;=8,"Medium","Low"))</f>
        <v>Low</v>
      </c>
      <c r="N472">
        <f>IF(tblPlacement[Internship]="Yes",1,0)</f>
        <v>1</v>
      </c>
    </row>
    <row r="473" spans="1:14" x14ac:dyDescent="0.3">
      <c r="A473" t="s">
        <v>577</v>
      </c>
      <c r="B473" t="s">
        <v>10</v>
      </c>
      <c r="C473">
        <v>5.9</v>
      </c>
      <c r="D473" t="s">
        <v>11</v>
      </c>
      <c r="E473" t="s">
        <v>112</v>
      </c>
      <c r="F473" t="s">
        <v>32</v>
      </c>
      <c r="G473">
        <v>0</v>
      </c>
      <c r="H473" t="s">
        <v>33</v>
      </c>
      <c r="I473" t="s">
        <v>33</v>
      </c>
      <c r="J473" t="s">
        <v>577</v>
      </c>
      <c r="K473">
        <f>IF(tblPlacement[Placement_Status]="Placed",1,0)</f>
        <v>0</v>
      </c>
      <c r="L473" t="str">
        <f>IF(tblPlacement[CGPA]&gt;=9,"9+", IF(tblPlacement[CGPA]&gt;=8,"8-9",IF(tblPlacement[CGPA]&gt;=7,"7-8","Below 7")))</f>
        <v>Below 7</v>
      </c>
      <c r="M473" t="str">
        <f>IF(tblPlacement[Package_LPA]&gt;=15,"High",IF(tblPlacement[Package_LPA]&gt;=8,"Medium","Low"))</f>
        <v>Low</v>
      </c>
      <c r="N473">
        <f>IF(tblPlacement[Internship]="Yes",1,0)</f>
        <v>1</v>
      </c>
    </row>
    <row r="474" spans="1:14" x14ac:dyDescent="0.3">
      <c r="A474" t="s">
        <v>578</v>
      </c>
      <c r="B474" t="s">
        <v>17</v>
      </c>
      <c r="C474">
        <v>6.4</v>
      </c>
      <c r="D474" t="s">
        <v>11</v>
      </c>
      <c r="E474" t="s">
        <v>80</v>
      </c>
      <c r="F474" t="s">
        <v>13</v>
      </c>
      <c r="G474">
        <v>16.8</v>
      </c>
      <c r="H474" t="s">
        <v>72</v>
      </c>
      <c r="I474" t="s">
        <v>20</v>
      </c>
      <c r="J474" t="s">
        <v>578</v>
      </c>
      <c r="K474">
        <f>IF(tblPlacement[Placement_Status]="Placed",1,0)</f>
        <v>1</v>
      </c>
      <c r="L474" t="str">
        <f>IF(tblPlacement[CGPA]&gt;=9,"9+", IF(tblPlacement[CGPA]&gt;=8,"8-9",IF(tblPlacement[CGPA]&gt;=7,"7-8","Below 7")))</f>
        <v>Below 7</v>
      </c>
      <c r="M474" t="str">
        <f>IF(tblPlacement[Package_LPA]&gt;=15,"High",IF(tblPlacement[Package_LPA]&gt;=8,"Medium","Low"))</f>
        <v>High</v>
      </c>
      <c r="N474">
        <f>IF(tblPlacement[Internship]="Yes",1,0)</f>
        <v>1</v>
      </c>
    </row>
    <row r="475" spans="1:14" x14ac:dyDescent="0.3">
      <c r="A475" t="s">
        <v>579</v>
      </c>
      <c r="B475" t="s">
        <v>43</v>
      </c>
      <c r="C475">
        <v>9.1</v>
      </c>
      <c r="D475" t="s">
        <v>11</v>
      </c>
      <c r="E475" t="s">
        <v>39</v>
      </c>
      <c r="F475" t="s">
        <v>13</v>
      </c>
      <c r="G475">
        <v>5.9</v>
      </c>
      <c r="H475" t="s">
        <v>128</v>
      </c>
      <c r="I475" t="s">
        <v>43</v>
      </c>
      <c r="J475" t="s">
        <v>579</v>
      </c>
      <c r="K475">
        <f>IF(tblPlacement[Placement_Status]="Placed",1,0)</f>
        <v>1</v>
      </c>
      <c r="L475" t="str">
        <f>IF(tblPlacement[CGPA]&gt;=9,"9+", IF(tblPlacement[CGPA]&gt;=8,"8-9",IF(tblPlacement[CGPA]&gt;=7,"7-8","Below 7")))</f>
        <v>9+</v>
      </c>
      <c r="M475" t="str">
        <f>IF(tblPlacement[Package_LPA]&gt;=15,"High",IF(tblPlacement[Package_LPA]&gt;=8,"Medium","Low"))</f>
        <v>Low</v>
      </c>
      <c r="N475">
        <f>IF(tblPlacement[Internship]="Yes",1,0)</f>
        <v>1</v>
      </c>
    </row>
    <row r="476" spans="1:14" x14ac:dyDescent="0.3">
      <c r="A476" t="s">
        <v>580</v>
      </c>
      <c r="B476" t="s">
        <v>10</v>
      </c>
      <c r="C476">
        <v>6.7</v>
      </c>
      <c r="D476" t="s">
        <v>22</v>
      </c>
      <c r="E476" t="s">
        <v>49</v>
      </c>
      <c r="F476" t="s">
        <v>32</v>
      </c>
      <c r="G476">
        <v>0</v>
      </c>
      <c r="H476" t="s">
        <v>33</v>
      </c>
      <c r="I476" t="s">
        <v>33</v>
      </c>
      <c r="J476" t="s">
        <v>580</v>
      </c>
      <c r="K476">
        <f>IF(tblPlacement[Placement_Status]="Placed",1,0)</f>
        <v>0</v>
      </c>
      <c r="L476" t="str">
        <f>IF(tblPlacement[CGPA]&gt;=9,"9+", IF(tblPlacement[CGPA]&gt;=8,"8-9",IF(tblPlacement[CGPA]&gt;=7,"7-8","Below 7")))</f>
        <v>Below 7</v>
      </c>
      <c r="M476" t="str">
        <f>IF(tblPlacement[Package_LPA]&gt;=15,"High",IF(tblPlacement[Package_LPA]&gt;=8,"Medium","Low"))</f>
        <v>Low</v>
      </c>
      <c r="N476">
        <f>IF(tblPlacement[Internship]="Yes",1,0)</f>
        <v>0</v>
      </c>
    </row>
    <row r="477" spans="1:14" x14ac:dyDescent="0.3">
      <c r="A477" t="s">
        <v>581</v>
      </c>
      <c r="B477" t="s">
        <v>17</v>
      </c>
      <c r="C477">
        <v>8.9</v>
      </c>
      <c r="D477" t="s">
        <v>11</v>
      </c>
      <c r="E477" t="s">
        <v>86</v>
      </c>
      <c r="F477" t="s">
        <v>13</v>
      </c>
      <c r="G477">
        <v>20.5</v>
      </c>
      <c r="H477" t="s">
        <v>24</v>
      </c>
      <c r="I477" t="s">
        <v>20</v>
      </c>
      <c r="J477" t="s">
        <v>581</v>
      </c>
      <c r="K477">
        <f>IF(tblPlacement[Placement_Status]="Placed",1,0)</f>
        <v>1</v>
      </c>
      <c r="L477" t="str">
        <f>IF(tblPlacement[CGPA]&gt;=9,"9+", IF(tblPlacement[CGPA]&gt;=8,"8-9",IF(tblPlacement[CGPA]&gt;=7,"7-8","Below 7")))</f>
        <v>8-9</v>
      </c>
      <c r="M477" t="str">
        <f>IF(tblPlacement[Package_LPA]&gt;=15,"High",IF(tblPlacement[Package_LPA]&gt;=8,"Medium","Low"))</f>
        <v>High</v>
      </c>
      <c r="N477">
        <f>IF(tblPlacement[Internship]="Yes",1,0)</f>
        <v>1</v>
      </c>
    </row>
    <row r="478" spans="1:14" x14ac:dyDescent="0.3">
      <c r="A478" t="s">
        <v>582</v>
      </c>
      <c r="B478" t="s">
        <v>30</v>
      </c>
      <c r="C478">
        <v>7.1</v>
      </c>
      <c r="D478" t="s">
        <v>22</v>
      </c>
      <c r="E478" t="s">
        <v>60</v>
      </c>
      <c r="F478" t="s">
        <v>13</v>
      </c>
      <c r="G478">
        <v>5.3</v>
      </c>
      <c r="H478" t="s">
        <v>67</v>
      </c>
      <c r="I478" t="s">
        <v>20</v>
      </c>
      <c r="J478" t="s">
        <v>582</v>
      </c>
      <c r="K478">
        <f>IF(tblPlacement[Placement_Status]="Placed",1,0)</f>
        <v>1</v>
      </c>
      <c r="L478" t="str">
        <f>IF(tblPlacement[CGPA]&gt;=9,"9+", IF(tblPlacement[CGPA]&gt;=8,"8-9",IF(tblPlacement[CGPA]&gt;=7,"7-8","Below 7")))</f>
        <v>7-8</v>
      </c>
      <c r="M478" t="str">
        <f>IF(tblPlacement[Package_LPA]&gt;=15,"High",IF(tblPlacement[Package_LPA]&gt;=8,"Medium","Low"))</f>
        <v>Low</v>
      </c>
      <c r="N478">
        <f>IF(tblPlacement[Internship]="Yes",1,0)</f>
        <v>0</v>
      </c>
    </row>
    <row r="479" spans="1:14" x14ac:dyDescent="0.3">
      <c r="A479" t="s">
        <v>583</v>
      </c>
      <c r="B479" t="s">
        <v>26</v>
      </c>
      <c r="C479">
        <v>7.4</v>
      </c>
      <c r="D479" t="s">
        <v>11</v>
      </c>
      <c r="E479" t="s">
        <v>84</v>
      </c>
      <c r="F479" t="s">
        <v>13</v>
      </c>
      <c r="G479">
        <v>13.3</v>
      </c>
      <c r="H479" t="s">
        <v>207</v>
      </c>
      <c r="I479" t="s">
        <v>65</v>
      </c>
      <c r="J479" t="s">
        <v>583</v>
      </c>
      <c r="K479">
        <f>IF(tblPlacement[Placement_Status]="Placed",1,0)</f>
        <v>1</v>
      </c>
      <c r="L479" t="str">
        <f>IF(tblPlacement[CGPA]&gt;=9,"9+", IF(tblPlacement[CGPA]&gt;=8,"8-9",IF(tblPlacement[CGPA]&gt;=7,"7-8","Below 7")))</f>
        <v>7-8</v>
      </c>
      <c r="M479" t="str">
        <f>IF(tblPlacement[Package_LPA]&gt;=15,"High",IF(tblPlacement[Package_LPA]&gt;=8,"Medium","Low"))</f>
        <v>Medium</v>
      </c>
      <c r="N479">
        <f>IF(tblPlacement[Internship]="Yes",1,0)</f>
        <v>1</v>
      </c>
    </row>
    <row r="480" spans="1:14" x14ac:dyDescent="0.3">
      <c r="A480" t="s">
        <v>584</v>
      </c>
      <c r="B480" t="s">
        <v>43</v>
      </c>
      <c r="C480">
        <v>8.5</v>
      </c>
      <c r="D480" t="s">
        <v>22</v>
      </c>
      <c r="E480" t="s">
        <v>165</v>
      </c>
      <c r="F480" t="s">
        <v>32</v>
      </c>
      <c r="G480">
        <v>0</v>
      </c>
      <c r="H480" t="s">
        <v>33</v>
      </c>
      <c r="I480" t="s">
        <v>33</v>
      </c>
      <c r="J480" t="s">
        <v>584</v>
      </c>
      <c r="K480">
        <f>IF(tblPlacement[Placement_Status]="Placed",1,0)</f>
        <v>0</v>
      </c>
      <c r="L480" t="str">
        <f>IF(tblPlacement[CGPA]&gt;=9,"9+", IF(tblPlacement[CGPA]&gt;=8,"8-9",IF(tblPlacement[CGPA]&gt;=7,"7-8","Below 7")))</f>
        <v>8-9</v>
      </c>
      <c r="M480" t="str">
        <f>IF(tblPlacement[Package_LPA]&gt;=15,"High",IF(tblPlacement[Package_LPA]&gt;=8,"Medium","Low"))</f>
        <v>Low</v>
      </c>
      <c r="N480">
        <f>IF(tblPlacement[Internship]="Yes",1,0)</f>
        <v>0</v>
      </c>
    </row>
    <row r="481" spans="1:14" x14ac:dyDescent="0.3">
      <c r="A481" t="s">
        <v>585</v>
      </c>
      <c r="B481" t="s">
        <v>17</v>
      </c>
      <c r="C481">
        <v>7.1</v>
      </c>
      <c r="D481" t="s">
        <v>11</v>
      </c>
      <c r="E481" t="s">
        <v>80</v>
      </c>
      <c r="F481" t="s">
        <v>13</v>
      </c>
      <c r="G481">
        <v>16.100000000000001</v>
      </c>
      <c r="H481" t="s">
        <v>53</v>
      </c>
      <c r="I481" t="s">
        <v>20</v>
      </c>
      <c r="J481" t="s">
        <v>585</v>
      </c>
      <c r="K481">
        <f>IF(tblPlacement[Placement_Status]="Placed",1,0)</f>
        <v>1</v>
      </c>
      <c r="L481" t="str">
        <f>IF(tblPlacement[CGPA]&gt;=9,"9+", IF(tblPlacement[CGPA]&gt;=8,"8-9",IF(tblPlacement[CGPA]&gt;=7,"7-8","Below 7")))</f>
        <v>7-8</v>
      </c>
      <c r="M481" t="str">
        <f>IF(tblPlacement[Package_LPA]&gt;=15,"High",IF(tblPlacement[Package_LPA]&gt;=8,"Medium","Low"))</f>
        <v>High</v>
      </c>
      <c r="N481">
        <f>IF(tblPlacement[Internship]="Yes",1,0)</f>
        <v>1</v>
      </c>
    </row>
    <row r="482" spans="1:14" x14ac:dyDescent="0.3">
      <c r="A482" t="s">
        <v>586</v>
      </c>
      <c r="B482" t="s">
        <v>30</v>
      </c>
      <c r="C482">
        <v>7.8</v>
      </c>
      <c r="D482" t="s">
        <v>22</v>
      </c>
      <c r="E482" t="s">
        <v>23</v>
      </c>
      <c r="F482" t="s">
        <v>13</v>
      </c>
      <c r="G482">
        <v>10.8</v>
      </c>
      <c r="H482" t="s">
        <v>89</v>
      </c>
      <c r="I482" t="s">
        <v>37</v>
      </c>
      <c r="J482" t="s">
        <v>586</v>
      </c>
      <c r="K482">
        <f>IF(tblPlacement[Placement_Status]="Placed",1,0)</f>
        <v>1</v>
      </c>
      <c r="L482" t="str">
        <f>IF(tblPlacement[CGPA]&gt;=9,"9+", IF(tblPlacement[CGPA]&gt;=8,"8-9",IF(tblPlacement[CGPA]&gt;=7,"7-8","Below 7")))</f>
        <v>7-8</v>
      </c>
      <c r="M482" t="str">
        <f>IF(tblPlacement[Package_LPA]&gt;=15,"High",IF(tblPlacement[Package_LPA]&gt;=8,"Medium","Low"))</f>
        <v>Medium</v>
      </c>
      <c r="N482">
        <f>IF(tblPlacement[Internship]="Yes",1,0)</f>
        <v>0</v>
      </c>
    </row>
    <row r="483" spans="1:14" x14ac:dyDescent="0.3">
      <c r="A483" t="s">
        <v>587</v>
      </c>
      <c r="B483" t="s">
        <v>10</v>
      </c>
      <c r="C483">
        <v>8.1999999999999993</v>
      </c>
      <c r="D483" t="s">
        <v>11</v>
      </c>
      <c r="E483" t="s">
        <v>185</v>
      </c>
      <c r="F483" t="s">
        <v>13</v>
      </c>
      <c r="G483">
        <v>15.1</v>
      </c>
      <c r="H483" t="s">
        <v>159</v>
      </c>
      <c r="I483" t="s">
        <v>15</v>
      </c>
      <c r="J483" t="s">
        <v>587</v>
      </c>
      <c r="K483">
        <f>IF(tblPlacement[Placement_Status]="Placed",1,0)</f>
        <v>1</v>
      </c>
      <c r="L483" t="str">
        <f>IF(tblPlacement[CGPA]&gt;=9,"9+", IF(tblPlacement[CGPA]&gt;=8,"8-9",IF(tblPlacement[CGPA]&gt;=7,"7-8","Below 7")))</f>
        <v>8-9</v>
      </c>
      <c r="M483" t="str">
        <f>IF(tblPlacement[Package_LPA]&gt;=15,"High",IF(tblPlacement[Package_LPA]&gt;=8,"Medium","Low"))</f>
        <v>High</v>
      </c>
      <c r="N483">
        <f>IF(tblPlacement[Internship]="Yes",1,0)</f>
        <v>1</v>
      </c>
    </row>
    <row r="484" spans="1:14" x14ac:dyDescent="0.3">
      <c r="A484" t="s">
        <v>588</v>
      </c>
      <c r="B484" t="s">
        <v>43</v>
      </c>
      <c r="C484">
        <v>5.5</v>
      </c>
      <c r="D484" t="s">
        <v>11</v>
      </c>
      <c r="E484" t="s">
        <v>69</v>
      </c>
      <c r="F484" t="s">
        <v>13</v>
      </c>
      <c r="G484">
        <v>9.9</v>
      </c>
      <c r="H484" t="s">
        <v>56</v>
      </c>
      <c r="I484" t="s">
        <v>43</v>
      </c>
      <c r="J484" t="s">
        <v>588</v>
      </c>
      <c r="K484">
        <f>IF(tblPlacement[Placement_Status]="Placed",1,0)</f>
        <v>1</v>
      </c>
      <c r="L484" t="str">
        <f>IF(tblPlacement[CGPA]&gt;=9,"9+", IF(tblPlacement[CGPA]&gt;=8,"8-9",IF(tblPlacement[CGPA]&gt;=7,"7-8","Below 7")))</f>
        <v>Below 7</v>
      </c>
      <c r="M484" t="str">
        <f>IF(tblPlacement[Package_LPA]&gt;=15,"High",IF(tblPlacement[Package_LPA]&gt;=8,"Medium","Low"))</f>
        <v>Medium</v>
      </c>
      <c r="N484">
        <f>IF(tblPlacement[Internship]="Yes",1,0)</f>
        <v>1</v>
      </c>
    </row>
    <row r="485" spans="1:14" x14ac:dyDescent="0.3">
      <c r="A485" t="s">
        <v>589</v>
      </c>
      <c r="B485" t="s">
        <v>20</v>
      </c>
      <c r="C485">
        <v>9</v>
      </c>
      <c r="D485" t="s">
        <v>11</v>
      </c>
      <c r="E485" t="s">
        <v>71</v>
      </c>
      <c r="F485" t="s">
        <v>13</v>
      </c>
      <c r="G485">
        <v>19.399999999999999</v>
      </c>
      <c r="H485" t="s">
        <v>72</v>
      </c>
      <c r="I485" t="s">
        <v>20</v>
      </c>
      <c r="J485" t="s">
        <v>589</v>
      </c>
      <c r="K485">
        <f>IF(tblPlacement[Placement_Status]="Placed",1,0)</f>
        <v>1</v>
      </c>
      <c r="L485" t="str">
        <f>IF(tblPlacement[CGPA]&gt;=9,"9+", IF(tblPlacement[CGPA]&gt;=8,"8-9",IF(tblPlacement[CGPA]&gt;=7,"7-8","Below 7")))</f>
        <v>9+</v>
      </c>
      <c r="M485" t="str">
        <f>IF(tblPlacement[Package_LPA]&gt;=15,"High",IF(tblPlacement[Package_LPA]&gt;=8,"Medium","Low"))</f>
        <v>High</v>
      </c>
      <c r="N485">
        <f>IF(tblPlacement[Internship]="Yes",1,0)</f>
        <v>1</v>
      </c>
    </row>
    <row r="486" spans="1:14" x14ac:dyDescent="0.3">
      <c r="A486" t="s">
        <v>590</v>
      </c>
      <c r="B486" t="s">
        <v>17</v>
      </c>
      <c r="C486">
        <v>7.5</v>
      </c>
      <c r="D486" t="s">
        <v>22</v>
      </c>
      <c r="E486" t="s">
        <v>46</v>
      </c>
      <c r="F486" t="s">
        <v>13</v>
      </c>
      <c r="G486">
        <v>11.8</v>
      </c>
      <c r="H486" t="s">
        <v>53</v>
      </c>
      <c r="I486" t="s">
        <v>20</v>
      </c>
      <c r="J486" t="s">
        <v>590</v>
      </c>
      <c r="K486">
        <f>IF(tblPlacement[Placement_Status]="Placed",1,0)</f>
        <v>1</v>
      </c>
      <c r="L486" t="str">
        <f>IF(tblPlacement[CGPA]&gt;=9,"9+", IF(tblPlacement[CGPA]&gt;=8,"8-9",IF(tblPlacement[CGPA]&gt;=7,"7-8","Below 7")))</f>
        <v>7-8</v>
      </c>
      <c r="M486" t="str">
        <f>IF(tblPlacement[Package_LPA]&gt;=15,"High",IF(tblPlacement[Package_LPA]&gt;=8,"Medium","Low"))</f>
        <v>Medium</v>
      </c>
      <c r="N486">
        <f>IF(tblPlacement[Internship]="Yes",1,0)</f>
        <v>0</v>
      </c>
    </row>
    <row r="487" spans="1:14" x14ac:dyDescent="0.3">
      <c r="A487" t="s">
        <v>591</v>
      </c>
      <c r="B487" t="s">
        <v>43</v>
      </c>
      <c r="C487">
        <v>8.8000000000000007</v>
      </c>
      <c r="D487" t="s">
        <v>22</v>
      </c>
      <c r="E487" t="s">
        <v>58</v>
      </c>
      <c r="F487" t="s">
        <v>32</v>
      </c>
      <c r="G487">
        <v>0</v>
      </c>
      <c r="H487" t="s">
        <v>33</v>
      </c>
      <c r="I487" t="s">
        <v>33</v>
      </c>
      <c r="J487" t="s">
        <v>591</v>
      </c>
      <c r="K487">
        <f>IF(tblPlacement[Placement_Status]="Placed",1,0)</f>
        <v>0</v>
      </c>
      <c r="L487" t="str">
        <f>IF(tblPlacement[CGPA]&gt;=9,"9+", IF(tblPlacement[CGPA]&gt;=8,"8-9",IF(tblPlacement[CGPA]&gt;=7,"7-8","Below 7")))</f>
        <v>8-9</v>
      </c>
      <c r="M487" t="str">
        <f>IF(tblPlacement[Package_LPA]&gt;=15,"High",IF(tblPlacement[Package_LPA]&gt;=8,"Medium","Low"))</f>
        <v>Low</v>
      </c>
      <c r="N487">
        <f>IF(tblPlacement[Internship]="Yes",1,0)</f>
        <v>0</v>
      </c>
    </row>
    <row r="488" spans="1:14" x14ac:dyDescent="0.3">
      <c r="A488" t="s">
        <v>592</v>
      </c>
      <c r="B488" t="s">
        <v>30</v>
      </c>
      <c r="C488">
        <v>8.1999999999999993</v>
      </c>
      <c r="D488" t="s">
        <v>11</v>
      </c>
      <c r="E488" t="s">
        <v>23</v>
      </c>
      <c r="F488" t="s">
        <v>13</v>
      </c>
      <c r="G488">
        <v>9.6</v>
      </c>
      <c r="H488" t="s">
        <v>81</v>
      </c>
      <c r="I488" t="s">
        <v>20</v>
      </c>
      <c r="J488" t="s">
        <v>592</v>
      </c>
      <c r="K488">
        <f>IF(tblPlacement[Placement_Status]="Placed",1,0)</f>
        <v>1</v>
      </c>
      <c r="L488" t="str">
        <f>IF(tblPlacement[CGPA]&gt;=9,"9+", IF(tblPlacement[CGPA]&gt;=8,"8-9",IF(tblPlacement[CGPA]&gt;=7,"7-8","Below 7")))</f>
        <v>8-9</v>
      </c>
      <c r="M488" t="str">
        <f>IF(tblPlacement[Package_LPA]&gt;=15,"High",IF(tblPlacement[Package_LPA]&gt;=8,"Medium","Low"))</f>
        <v>Medium</v>
      </c>
      <c r="N488">
        <f>IF(tblPlacement[Internship]="Yes",1,0)</f>
        <v>1</v>
      </c>
    </row>
    <row r="489" spans="1:14" x14ac:dyDescent="0.3">
      <c r="A489" t="s">
        <v>593</v>
      </c>
      <c r="B489" t="s">
        <v>43</v>
      </c>
      <c r="C489">
        <v>8</v>
      </c>
      <c r="D489" t="s">
        <v>22</v>
      </c>
      <c r="E489" t="s">
        <v>39</v>
      </c>
      <c r="F489" t="s">
        <v>32</v>
      </c>
      <c r="G489">
        <v>0</v>
      </c>
      <c r="H489" t="s">
        <v>33</v>
      </c>
      <c r="I489" t="s">
        <v>33</v>
      </c>
      <c r="J489" t="s">
        <v>593</v>
      </c>
      <c r="K489">
        <f>IF(tblPlacement[Placement_Status]="Placed",1,0)</f>
        <v>0</v>
      </c>
      <c r="L489" t="str">
        <f>IF(tblPlacement[CGPA]&gt;=9,"9+", IF(tblPlacement[CGPA]&gt;=8,"8-9",IF(tblPlacement[CGPA]&gt;=7,"7-8","Below 7")))</f>
        <v>8-9</v>
      </c>
      <c r="M489" t="str">
        <f>IF(tblPlacement[Package_LPA]&gt;=15,"High",IF(tblPlacement[Package_LPA]&gt;=8,"Medium","Low"))</f>
        <v>Low</v>
      </c>
      <c r="N489">
        <f>IF(tblPlacement[Internship]="Yes",1,0)</f>
        <v>0</v>
      </c>
    </row>
    <row r="490" spans="1:14" x14ac:dyDescent="0.3">
      <c r="A490" t="s">
        <v>594</v>
      </c>
      <c r="B490" t="s">
        <v>17</v>
      </c>
      <c r="C490">
        <v>8.6999999999999993</v>
      </c>
      <c r="D490" t="s">
        <v>11</v>
      </c>
      <c r="E490" t="s">
        <v>39</v>
      </c>
      <c r="F490" t="s">
        <v>13</v>
      </c>
      <c r="G490">
        <v>13</v>
      </c>
      <c r="H490" t="s">
        <v>53</v>
      </c>
      <c r="I490" t="s">
        <v>20</v>
      </c>
      <c r="J490" t="s">
        <v>594</v>
      </c>
      <c r="K490">
        <f>IF(tblPlacement[Placement_Status]="Placed",1,0)</f>
        <v>1</v>
      </c>
      <c r="L490" t="str">
        <f>IF(tblPlacement[CGPA]&gt;=9,"9+", IF(tblPlacement[CGPA]&gt;=8,"8-9",IF(tblPlacement[CGPA]&gt;=7,"7-8","Below 7")))</f>
        <v>8-9</v>
      </c>
      <c r="M490" t="str">
        <f>IF(tblPlacement[Package_LPA]&gt;=15,"High",IF(tblPlacement[Package_LPA]&gt;=8,"Medium","Low"))</f>
        <v>Medium</v>
      </c>
      <c r="N490">
        <f>IF(tblPlacement[Internship]="Yes",1,0)</f>
        <v>1</v>
      </c>
    </row>
    <row r="491" spans="1:14" x14ac:dyDescent="0.3">
      <c r="A491" t="s">
        <v>595</v>
      </c>
      <c r="B491" t="s">
        <v>10</v>
      </c>
      <c r="C491">
        <v>5.4</v>
      </c>
      <c r="D491" t="s">
        <v>11</v>
      </c>
      <c r="E491" t="s">
        <v>60</v>
      </c>
      <c r="F491" t="s">
        <v>32</v>
      </c>
      <c r="G491">
        <v>0</v>
      </c>
      <c r="H491" t="s">
        <v>33</v>
      </c>
      <c r="I491" t="s">
        <v>33</v>
      </c>
      <c r="J491" t="s">
        <v>595</v>
      </c>
      <c r="K491">
        <f>IF(tblPlacement[Placement_Status]="Placed",1,0)</f>
        <v>0</v>
      </c>
      <c r="L491" t="str">
        <f>IF(tblPlacement[CGPA]&gt;=9,"9+", IF(tblPlacement[CGPA]&gt;=8,"8-9",IF(tblPlacement[CGPA]&gt;=7,"7-8","Below 7")))</f>
        <v>Below 7</v>
      </c>
      <c r="M491" t="str">
        <f>IF(tblPlacement[Package_LPA]&gt;=15,"High",IF(tblPlacement[Package_LPA]&gt;=8,"Medium","Low"))</f>
        <v>Low</v>
      </c>
      <c r="N491">
        <f>IF(tblPlacement[Internship]="Yes",1,0)</f>
        <v>1</v>
      </c>
    </row>
    <row r="492" spans="1:14" x14ac:dyDescent="0.3">
      <c r="A492" t="s">
        <v>596</v>
      </c>
      <c r="B492" t="s">
        <v>43</v>
      </c>
      <c r="C492">
        <v>7.1</v>
      </c>
      <c r="D492" t="s">
        <v>11</v>
      </c>
      <c r="E492" t="s">
        <v>69</v>
      </c>
      <c r="F492" t="s">
        <v>13</v>
      </c>
      <c r="G492">
        <v>11.7</v>
      </c>
      <c r="H492" t="s">
        <v>56</v>
      </c>
      <c r="I492" t="s">
        <v>43</v>
      </c>
      <c r="J492" t="s">
        <v>596</v>
      </c>
      <c r="K492">
        <f>IF(tblPlacement[Placement_Status]="Placed",1,0)</f>
        <v>1</v>
      </c>
      <c r="L492" t="str">
        <f>IF(tblPlacement[CGPA]&gt;=9,"9+", IF(tblPlacement[CGPA]&gt;=8,"8-9",IF(tblPlacement[CGPA]&gt;=7,"7-8","Below 7")))</f>
        <v>7-8</v>
      </c>
      <c r="M492" t="str">
        <f>IF(tblPlacement[Package_LPA]&gt;=15,"High",IF(tblPlacement[Package_LPA]&gt;=8,"Medium","Low"))</f>
        <v>Medium</v>
      </c>
      <c r="N492">
        <f>IF(tblPlacement[Internship]="Yes",1,0)</f>
        <v>1</v>
      </c>
    </row>
    <row r="493" spans="1:14" x14ac:dyDescent="0.3">
      <c r="A493" t="s">
        <v>597</v>
      </c>
      <c r="B493" t="s">
        <v>17</v>
      </c>
      <c r="C493">
        <v>7.1</v>
      </c>
      <c r="D493" t="s">
        <v>22</v>
      </c>
      <c r="E493" t="s">
        <v>46</v>
      </c>
      <c r="F493" t="s">
        <v>32</v>
      </c>
      <c r="G493">
        <v>0</v>
      </c>
      <c r="H493" t="s">
        <v>33</v>
      </c>
      <c r="I493" t="s">
        <v>33</v>
      </c>
      <c r="J493" t="s">
        <v>597</v>
      </c>
      <c r="K493">
        <f>IF(tblPlacement[Placement_Status]="Placed",1,0)</f>
        <v>0</v>
      </c>
      <c r="L493" t="str">
        <f>IF(tblPlacement[CGPA]&gt;=9,"9+", IF(tblPlacement[CGPA]&gt;=8,"8-9",IF(tblPlacement[CGPA]&gt;=7,"7-8","Below 7")))</f>
        <v>7-8</v>
      </c>
      <c r="M493" t="str">
        <f>IF(tblPlacement[Package_LPA]&gt;=15,"High",IF(tblPlacement[Package_LPA]&gt;=8,"Medium","Low"))</f>
        <v>Low</v>
      </c>
      <c r="N493">
        <f>IF(tblPlacement[Internship]="Yes",1,0)</f>
        <v>0</v>
      </c>
    </row>
    <row r="494" spans="1:14" x14ac:dyDescent="0.3">
      <c r="A494" t="s">
        <v>598</v>
      </c>
      <c r="B494" t="s">
        <v>20</v>
      </c>
      <c r="C494">
        <v>8.1999999999999993</v>
      </c>
      <c r="D494" t="s">
        <v>22</v>
      </c>
      <c r="E494" t="s">
        <v>39</v>
      </c>
      <c r="F494" t="s">
        <v>32</v>
      </c>
      <c r="G494">
        <v>0</v>
      </c>
      <c r="H494" t="s">
        <v>33</v>
      </c>
      <c r="I494" t="s">
        <v>33</v>
      </c>
      <c r="J494" t="s">
        <v>598</v>
      </c>
      <c r="K494">
        <f>IF(tblPlacement[Placement_Status]="Placed",1,0)</f>
        <v>0</v>
      </c>
      <c r="L494" t="str">
        <f>IF(tblPlacement[CGPA]&gt;=9,"9+", IF(tblPlacement[CGPA]&gt;=8,"8-9",IF(tblPlacement[CGPA]&gt;=7,"7-8","Below 7")))</f>
        <v>8-9</v>
      </c>
      <c r="M494" t="str">
        <f>IF(tblPlacement[Package_LPA]&gt;=15,"High",IF(tblPlacement[Package_LPA]&gt;=8,"Medium","Low"))</f>
        <v>Low</v>
      </c>
      <c r="N494">
        <f>IF(tblPlacement[Internship]="Yes",1,0)</f>
        <v>0</v>
      </c>
    </row>
    <row r="495" spans="1:14" x14ac:dyDescent="0.3">
      <c r="A495" t="s">
        <v>599</v>
      </c>
      <c r="B495" t="s">
        <v>17</v>
      </c>
      <c r="C495">
        <v>8.6</v>
      </c>
      <c r="D495" t="s">
        <v>11</v>
      </c>
      <c r="E495" t="s">
        <v>86</v>
      </c>
      <c r="F495" t="s">
        <v>13</v>
      </c>
      <c r="G495">
        <v>17.2</v>
      </c>
      <c r="H495" t="s">
        <v>53</v>
      </c>
      <c r="I495" t="s">
        <v>20</v>
      </c>
      <c r="J495" t="s">
        <v>599</v>
      </c>
      <c r="K495">
        <f>IF(tblPlacement[Placement_Status]="Placed",1,0)</f>
        <v>1</v>
      </c>
      <c r="L495" t="str">
        <f>IF(tblPlacement[CGPA]&gt;=9,"9+", IF(tblPlacement[CGPA]&gt;=8,"8-9",IF(tblPlacement[CGPA]&gt;=7,"7-8","Below 7")))</f>
        <v>8-9</v>
      </c>
      <c r="M495" t="str">
        <f>IF(tblPlacement[Package_LPA]&gt;=15,"High",IF(tblPlacement[Package_LPA]&gt;=8,"Medium","Low"))</f>
        <v>High</v>
      </c>
      <c r="N495">
        <f>IF(tblPlacement[Internship]="Yes",1,0)</f>
        <v>1</v>
      </c>
    </row>
    <row r="496" spans="1:14" x14ac:dyDescent="0.3">
      <c r="A496" t="s">
        <v>600</v>
      </c>
      <c r="B496" t="s">
        <v>26</v>
      </c>
      <c r="C496">
        <v>8.4</v>
      </c>
      <c r="D496" t="s">
        <v>11</v>
      </c>
      <c r="E496" t="s">
        <v>97</v>
      </c>
      <c r="F496" t="s">
        <v>13</v>
      </c>
      <c r="G496">
        <v>9</v>
      </c>
      <c r="H496" t="s">
        <v>91</v>
      </c>
      <c r="I496" t="s">
        <v>26</v>
      </c>
      <c r="J496" t="s">
        <v>600</v>
      </c>
      <c r="K496">
        <f>IF(tblPlacement[Placement_Status]="Placed",1,0)</f>
        <v>1</v>
      </c>
      <c r="L496" t="str">
        <f>IF(tblPlacement[CGPA]&gt;=9,"9+", IF(tblPlacement[CGPA]&gt;=8,"8-9",IF(tblPlacement[CGPA]&gt;=7,"7-8","Below 7")))</f>
        <v>8-9</v>
      </c>
      <c r="M496" t="str">
        <f>IF(tblPlacement[Package_LPA]&gt;=15,"High",IF(tblPlacement[Package_LPA]&gt;=8,"Medium","Low"))</f>
        <v>Medium</v>
      </c>
      <c r="N496">
        <f>IF(tblPlacement[Internship]="Yes",1,0)</f>
        <v>1</v>
      </c>
    </row>
    <row r="497" spans="1:14" x14ac:dyDescent="0.3">
      <c r="A497" t="s">
        <v>601</v>
      </c>
      <c r="B497" t="s">
        <v>20</v>
      </c>
      <c r="C497">
        <v>9.6999999999999993</v>
      </c>
      <c r="D497" t="s">
        <v>22</v>
      </c>
      <c r="E497" t="s">
        <v>86</v>
      </c>
      <c r="F497" t="s">
        <v>13</v>
      </c>
      <c r="G497">
        <v>11.3</v>
      </c>
      <c r="H497" t="s">
        <v>24</v>
      </c>
      <c r="I497" t="s">
        <v>20</v>
      </c>
      <c r="J497" t="s">
        <v>601</v>
      </c>
      <c r="K497">
        <f>IF(tblPlacement[Placement_Status]="Placed",1,0)</f>
        <v>1</v>
      </c>
      <c r="L497" t="str">
        <f>IF(tblPlacement[CGPA]&gt;=9,"9+", IF(tblPlacement[CGPA]&gt;=8,"8-9",IF(tblPlacement[CGPA]&gt;=7,"7-8","Below 7")))</f>
        <v>9+</v>
      </c>
      <c r="M497" t="str">
        <f>IF(tblPlacement[Package_LPA]&gt;=15,"High",IF(tblPlacement[Package_LPA]&gt;=8,"Medium","Low"))</f>
        <v>Medium</v>
      </c>
      <c r="N497">
        <f>IF(tblPlacement[Internship]="Yes",1,0)</f>
        <v>0</v>
      </c>
    </row>
    <row r="498" spans="1:14" x14ac:dyDescent="0.3">
      <c r="A498" t="s">
        <v>602</v>
      </c>
      <c r="B498" t="s">
        <v>17</v>
      </c>
      <c r="C498">
        <v>7.1</v>
      </c>
      <c r="D498" t="s">
        <v>22</v>
      </c>
      <c r="E498" t="s">
        <v>80</v>
      </c>
      <c r="F498" t="s">
        <v>32</v>
      </c>
      <c r="G498">
        <v>0</v>
      </c>
      <c r="H498" t="s">
        <v>33</v>
      </c>
      <c r="I498" t="s">
        <v>33</v>
      </c>
      <c r="J498" t="s">
        <v>602</v>
      </c>
      <c r="K498">
        <f>IF(tblPlacement[Placement_Status]="Placed",1,0)</f>
        <v>0</v>
      </c>
      <c r="L498" t="str">
        <f>IF(tblPlacement[CGPA]&gt;=9,"9+", IF(tblPlacement[CGPA]&gt;=8,"8-9",IF(tblPlacement[CGPA]&gt;=7,"7-8","Below 7")))</f>
        <v>7-8</v>
      </c>
      <c r="M498" t="str">
        <f>IF(tblPlacement[Package_LPA]&gt;=15,"High",IF(tblPlacement[Package_LPA]&gt;=8,"Medium","Low"))</f>
        <v>Low</v>
      </c>
      <c r="N498">
        <f>IF(tblPlacement[Internship]="Yes",1,0)</f>
        <v>0</v>
      </c>
    </row>
    <row r="499" spans="1:14" x14ac:dyDescent="0.3">
      <c r="A499" t="s">
        <v>603</v>
      </c>
      <c r="B499" t="s">
        <v>30</v>
      </c>
      <c r="C499">
        <v>6.6</v>
      </c>
      <c r="D499" t="s">
        <v>22</v>
      </c>
      <c r="E499" t="s">
        <v>18</v>
      </c>
      <c r="F499" t="s">
        <v>13</v>
      </c>
      <c r="G499">
        <v>16.7</v>
      </c>
      <c r="H499" t="s">
        <v>434</v>
      </c>
      <c r="I499" t="s">
        <v>37</v>
      </c>
      <c r="J499" t="s">
        <v>603</v>
      </c>
      <c r="K499">
        <f>IF(tblPlacement[Placement_Status]="Placed",1,0)</f>
        <v>1</v>
      </c>
      <c r="L499" t="str">
        <f>IF(tblPlacement[CGPA]&gt;=9,"9+", IF(tblPlacement[CGPA]&gt;=8,"8-9",IF(tblPlacement[CGPA]&gt;=7,"7-8","Below 7")))</f>
        <v>Below 7</v>
      </c>
      <c r="M499" t="str">
        <f>IF(tblPlacement[Package_LPA]&gt;=15,"High",IF(tblPlacement[Package_LPA]&gt;=8,"Medium","Low"))</f>
        <v>High</v>
      </c>
      <c r="N499">
        <f>IF(tblPlacement[Internship]="Yes",1,0)</f>
        <v>0</v>
      </c>
    </row>
    <row r="500" spans="1:14" x14ac:dyDescent="0.3">
      <c r="A500" t="s">
        <v>604</v>
      </c>
      <c r="B500" t="s">
        <v>10</v>
      </c>
      <c r="C500">
        <v>9.6</v>
      </c>
      <c r="D500" t="s">
        <v>11</v>
      </c>
      <c r="E500" t="s">
        <v>18</v>
      </c>
      <c r="F500" t="s">
        <v>13</v>
      </c>
      <c r="G500">
        <v>16.3</v>
      </c>
      <c r="H500" t="s">
        <v>352</v>
      </c>
      <c r="I500" t="s">
        <v>15</v>
      </c>
      <c r="J500" t="s">
        <v>604</v>
      </c>
      <c r="K500">
        <f>IF(tblPlacement[Placement_Status]="Placed",1,0)</f>
        <v>1</v>
      </c>
      <c r="L500" t="str">
        <f>IF(tblPlacement[CGPA]&gt;=9,"9+", IF(tblPlacement[CGPA]&gt;=8,"8-9",IF(tblPlacement[CGPA]&gt;=7,"7-8","Below 7")))</f>
        <v>9+</v>
      </c>
      <c r="M500" t="str">
        <f>IF(tblPlacement[Package_LPA]&gt;=15,"High",IF(tblPlacement[Package_LPA]&gt;=8,"Medium","Low"))</f>
        <v>High</v>
      </c>
      <c r="N500">
        <f>IF(tblPlacement[Internship]="Yes",1,0)</f>
        <v>1</v>
      </c>
    </row>
    <row r="501" spans="1:14" x14ac:dyDescent="0.3">
      <c r="A501" t="s">
        <v>605</v>
      </c>
      <c r="B501" t="s">
        <v>30</v>
      </c>
      <c r="C501">
        <v>9.1999999999999993</v>
      </c>
      <c r="D501" t="s">
        <v>11</v>
      </c>
      <c r="E501" t="s">
        <v>285</v>
      </c>
      <c r="F501" t="s">
        <v>13</v>
      </c>
      <c r="G501">
        <v>15.3</v>
      </c>
      <c r="H501" t="s">
        <v>484</v>
      </c>
      <c r="I501" t="s">
        <v>37</v>
      </c>
      <c r="J501" t="s">
        <v>605</v>
      </c>
      <c r="K501">
        <f>IF(tblPlacement[Placement_Status]="Placed",1,0)</f>
        <v>1</v>
      </c>
      <c r="L501" t="str">
        <f>IF(tblPlacement[CGPA]&gt;=9,"9+", IF(tblPlacement[CGPA]&gt;=8,"8-9",IF(tblPlacement[CGPA]&gt;=7,"7-8","Below 7")))</f>
        <v>9+</v>
      </c>
      <c r="M501" t="str">
        <f>IF(tblPlacement[Package_LPA]&gt;=15,"High",IF(tblPlacement[Package_LPA]&gt;=8,"Medium","Low"))</f>
        <v>High</v>
      </c>
      <c r="N501">
        <f>IF(tblPlacement[Internship]="Yes",1,0)</f>
        <v>1</v>
      </c>
    </row>
  </sheetData>
  <autoFilter ref="P1:P501" xr:uid="{00000000-0001-0000-0000-000000000000}">
    <filterColumn colId="0">
      <filters blank="1">
        <filter val="ABB"/>
        <filter val="Accenture"/>
        <filter val="Afcons"/>
        <filter val="Analog Devices"/>
        <filter val="Ashok Leyland"/>
        <filter val="Bajaj Auto"/>
        <filter val="Bosch"/>
        <filter val="Capgemini"/>
        <filter val="CG Power"/>
        <filter val="Cognizant"/>
        <filter val="Deloitte"/>
        <filter val="DLF"/>
        <filter val="Eaton"/>
        <filter val="EY"/>
        <filter val="Godrej"/>
        <filter val="HCL"/>
        <filter val="Hero MotoCorp"/>
        <filter val="Honeywell"/>
        <filter val="IBM"/>
        <filter val="Infosys"/>
        <filter val="Intel"/>
        <filter val="IRCON"/>
        <filter val="JCB"/>
        <filter val="KPMG"/>
        <filter val="L&amp;T"/>
        <filter val="L&amp;T Construction"/>
        <filter val="L&amp;T Electrical"/>
        <filter val="Maruti Suzuki"/>
        <filter val="NCC"/>
        <filter val="NXP"/>
        <filter val="Punj Lloyd"/>
        <filter val="Qualcomm"/>
        <filter val="Samsung"/>
        <filter val="Schneider Electric"/>
        <filter val="Shapoorji Pallonji"/>
        <filter val="Siemens"/>
        <filter val="Sony"/>
        <filter val="Tata Motors"/>
        <filter val="Tata Power"/>
        <filter val="Tata Projects"/>
        <filter val="TCS"/>
        <filter val="Texas Instruments"/>
        <filter val="Thermax"/>
        <filter val="Wipro"/>
      </filters>
    </filterColumn>
  </autoFilter>
  <phoneticPr fontId="6" type="noConversion"/>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D1AF-9E6B-40A1-9760-14DE40EAADE1}">
  <dimension ref="A1:C6"/>
  <sheetViews>
    <sheetView workbookViewId="0">
      <selection activeCell="A13" sqref="A13"/>
    </sheetView>
  </sheetViews>
  <sheetFormatPr defaultRowHeight="14.4" x14ac:dyDescent="0.3"/>
  <cols>
    <col min="1" max="1" width="14.77734375" bestFit="1" customWidth="1"/>
  </cols>
  <sheetData>
    <row r="1" spans="1:3" x14ac:dyDescent="0.3">
      <c r="A1" t="s">
        <v>621</v>
      </c>
      <c r="B1">
        <f>COUNTA(tblPlacement[Student_ID])</f>
        <v>500</v>
      </c>
    </row>
    <row r="2" spans="1:3" x14ac:dyDescent="0.3">
      <c r="A2" t="s">
        <v>622</v>
      </c>
      <c r="B2">
        <f>COUNTIF(result[Placement Indicator],1)</f>
        <v>325</v>
      </c>
      <c r="C2">
        <f>COUNTIF(tblPlacement[Placement_Status],"Placed")</f>
        <v>325</v>
      </c>
    </row>
    <row r="3" spans="1:3" x14ac:dyDescent="0.3">
      <c r="A3" t="s">
        <v>623</v>
      </c>
      <c r="B3" s="4">
        <f>B2/B1</f>
        <v>0.65</v>
      </c>
    </row>
    <row r="4" spans="1:3" x14ac:dyDescent="0.3">
      <c r="A4" t="s">
        <v>624</v>
      </c>
      <c r="B4">
        <f>AVERAGE(tblPlacement[Package_LPA])</f>
        <v>7.8997999999999937</v>
      </c>
    </row>
    <row r="5" spans="1:3" x14ac:dyDescent="0.3">
      <c r="A5" t="s">
        <v>626</v>
      </c>
      <c r="B5">
        <f>MAX(tblPlacement[Package_LPA])</f>
        <v>24.4</v>
      </c>
    </row>
    <row r="6" spans="1:3" x14ac:dyDescent="0.3">
      <c r="A6" t="s">
        <v>625</v>
      </c>
      <c r="B6">
        <f>COUNTA(Placement_Data!P2:P46)</f>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4" x14ac:dyDescent="0.3"/>
  <sheetData>
    <row r="1" spans="1:2" x14ac:dyDescent="0.3">
      <c r="A1" s="1" t="s">
        <v>606</v>
      </c>
      <c r="B1" s="1" t="s">
        <v>607</v>
      </c>
    </row>
    <row r="2" spans="1:2" x14ac:dyDescent="0.3">
      <c r="A2" t="s">
        <v>0</v>
      </c>
      <c r="B2" t="s">
        <v>608</v>
      </c>
    </row>
    <row r="3" spans="1:2" x14ac:dyDescent="0.3">
      <c r="A3" t="s">
        <v>1</v>
      </c>
      <c r="B3" t="s">
        <v>609</v>
      </c>
    </row>
    <row r="4" spans="1:2" x14ac:dyDescent="0.3">
      <c r="A4" t="s">
        <v>2</v>
      </c>
      <c r="B4" t="s">
        <v>610</v>
      </c>
    </row>
    <row r="5" spans="1:2" x14ac:dyDescent="0.3">
      <c r="A5" t="s">
        <v>3</v>
      </c>
      <c r="B5" t="s">
        <v>611</v>
      </c>
    </row>
    <row r="6" spans="1:2" x14ac:dyDescent="0.3">
      <c r="A6" t="s">
        <v>4</v>
      </c>
      <c r="B6" t="s">
        <v>612</v>
      </c>
    </row>
    <row r="7" spans="1:2" x14ac:dyDescent="0.3">
      <c r="A7" t="s">
        <v>5</v>
      </c>
      <c r="B7" t="s">
        <v>613</v>
      </c>
    </row>
    <row r="8" spans="1:2" x14ac:dyDescent="0.3">
      <c r="A8" t="s">
        <v>6</v>
      </c>
      <c r="B8" t="s">
        <v>614</v>
      </c>
    </row>
    <row r="9" spans="1:2" x14ac:dyDescent="0.3">
      <c r="A9" t="s">
        <v>7</v>
      </c>
      <c r="B9" t="s">
        <v>615</v>
      </c>
    </row>
    <row r="10" spans="1:2" x14ac:dyDescent="0.3">
      <c r="A10" t="s">
        <v>8</v>
      </c>
      <c r="B10" t="s">
        <v>616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647C-80FF-4CC4-BAAB-8FD6768B8482}">
  <dimension ref="A1:F7"/>
  <sheetViews>
    <sheetView workbookViewId="0">
      <selection activeCell="F7" sqref="F7"/>
    </sheetView>
  </sheetViews>
  <sheetFormatPr defaultRowHeight="14.4" x14ac:dyDescent="0.3"/>
  <sheetData>
    <row r="1" spans="1:6" ht="18" x14ac:dyDescent="0.35">
      <c r="A1" s="25" t="s">
        <v>655</v>
      </c>
      <c r="B1" s="23"/>
      <c r="C1" s="23"/>
      <c r="D1" s="23"/>
      <c r="E1" s="23"/>
      <c r="F1" s="24"/>
    </row>
    <row r="3" spans="1:6" x14ac:dyDescent="0.3">
      <c r="A3" t="s">
        <v>656</v>
      </c>
    </row>
    <row r="4" spans="1:6" x14ac:dyDescent="0.3">
      <c r="A4" t="s">
        <v>657</v>
      </c>
    </row>
    <row r="5" spans="1:6" x14ac:dyDescent="0.3">
      <c r="A5" t="s">
        <v>658</v>
      </c>
    </row>
    <row r="6" spans="1:6" x14ac:dyDescent="0.3">
      <c r="A6" t="s">
        <v>659</v>
      </c>
    </row>
    <row r="7" spans="1:6" x14ac:dyDescent="0.3">
      <c r="A7"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PivotSheets</vt:lpstr>
      <vt:lpstr>Charts</vt:lpstr>
      <vt:lpstr>Dashboard</vt:lpstr>
      <vt:lpstr>Placement_Data</vt:lpstr>
      <vt:lpstr>KPI_Calculations</vt:lpstr>
      <vt:lpstr>Data_Dictionary</vt:lpstr>
      <vt:lpstr>Insights</vt:lpstr>
      <vt:lpstr>Placement_Data!Extract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charul dongre</cp:lastModifiedBy>
  <dcterms:created xsi:type="dcterms:W3CDTF">2026-06-02T14:22:02Z</dcterms:created>
  <dcterms:modified xsi:type="dcterms:W3CDTF">2026-06-03T17:11:30Z</dcterms:modified>
</cp:coreProperties>
</file>